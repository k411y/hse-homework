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apt\OneDrive\Desktop\"/>
    </mc:Choice>
  </mc:AlternateContent>
  <xr:revisionPtr revIDLastSave="0" documentId="13_ncr:1_{53C0F2C3-9745-42DB-BBB4-301C08AAECA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Общий лист с вводными" sheetId="7" r:id="rId1"/>
    <sheet name="1. Процентиль" sheetId="11" r:id="rId2"/>
    <sheet name="2. Поставки данных" sheetId="6" r:id="rId3"/>
    <sheet name="3. Подписки и акция" sheetId="14" r:id="rId4"/>
    <sheet name="4. Эффективность отдела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3" i="6" l="1"/>
  <c r="R42" i="6"/>
  <c r="R41" i="6"/>
  <c r="R40" i="6"/>
  <c r="R39" i="6"/>
  <c r="R38" i="6"/>
  <c r="R37" i="6"/>
  <c r="Q43" i="6"/>
  <c r="Q42" i="6"/>
  <c r="Q41" i="6"/>
  <c r="Q40" i="6"/>
  <c r="Q39" i="6"/>
  <c r="Q38" i="6"/>
  <c r="Q37" i="6"/>
  <c r="R31" i="6"/>
  <c r="R30" i="6"/>
  <c r="R29" i="6"/>
  <c r="R28" i="6"/>
  <c r="R27" i="6"/>
  <c r="R26" i="6"/>
  <c r="R25" i="6"/>
  <c r="V31" i="6"/>
  <c r="V30" i="6"/>
  <c r="V29" i="6"/>
  <c r="V28" i="6"/>
  <c r="V27" i="6"/>
  <c r="V26" i="6"/>
  <c r="V25" i="6"/>
  <c r="Z26" i="6"/>
  <c r="Z27" i="6"/>
  <c r="Z28" i="6"/>
  <c r="Z29" i="6"/>
  <c r="Z30" i="6"/>
  <c r="Z31" i="6"/>
  <c r="Z25" i="6"/>
  <c r="Y31" i="6"/>
  <c r="Y30" i="6"/>
  <c r="Y29" i="6"/>
  <c r="Y28" i="6"/>
  <c r="Y27" i="6"/>
  <c r="Y26" i="6"/>
  <c r="Y25" i="6"/>
  <c r="U31" i="6"/>
  <c r="U30" i="6"/>
  <c r="U29" i="6"/>
  <c r="U28" i="6"/>
  <c r="U27" i="6"/>
  <c r="U26" i="6"/>
  <c r="U25" i="6"/>
  <c r="Q26" i="6"/>
  <c r="Q27" i="6"/>
  <c r="Q28" i="6"/>
  <c r="Q29" i="6"/>
  <c r="Q30" i="6"/>
  <c r="Q31" i="6"/>
  <c r="Q25" i="6"/>
  <c r="H56" i="3"/>
  <c r="I56" i="3"/>
  <c r="J19" i="3"/>
  <c r="K19" i="3" s="1"/>
  <c r="J20" i="3"/>
  <c r="J21" i="3"/>
  <c r="I22" i="3"/>
  <c r="I39" i="3"/>
  <c r="J39" i="3"/>
  <c r="I45" i="3"/>
  <c r="I61" i="3" s="1"/>
  <c r="J45" i="3"/>
  <c r="J61" i="3" s="1"/>
  <c r="I46" i="3"/>
  <c r="J46" i="3"/>
  <c r="I47" i="3"/>
  <c r="J47" i="3"/>
  <c r="I54" i="3"/>
  <c r="I55" i="3"/>
  <c r="I57" i="3"/>
  <c r="H54" i="3"/>
  <c r="H55" i="3"/>
  <c r="H57" i="3"/>
  <c r="H39" i="3"/>
  <c r="K35" i="3"/>
  <c r="H36" i="3" s="1"/>
  <c r="K33" i="3"/>
  <c r="J34" i="3" s="1"/>
  <c r="K31" i="3"/>
  <c r="I32" i="3" s="1"/>
  <c r="Q22" i="3"/>
  <c r="P22" i="3"/>
  <c r="M22" i="3"/>
  <c r="L22" i="3"/>
  <c r="H22" i="3"/>
  <c r="J22" i="3" s="1"/>
  <c r="U53" i="14"/>
  <c r="R21" i="3"/>
  <c r="S21" i="3" s="1"/>
  <c r="R20" i="3"/>
  <c r="S20" i="3" s="1"/>
  <c r="R19" i="3"/>
  <c r="S19" i="3" s="1"/>
  <c r="N21" i="3"/>
  <c r="O21" i="3" s="1"/>
  <c r="N20" i="3"/>
  <c r="O20" i="3" s="1"/>
  <c r="N19" i="3"/>
  <c r="O19" i="3" s="1"/>
  <c r="K20" i="3"/>
  <c r="K21" i="3"/>
  <c r="V53" i="14"/>
  <c r="W53" i="14" s="1"/>
  <c r="N27" i="14"/>
  <c r="M27" i="14"/>
  <c r="L27" i="14"/>
  <c r="K27" i="14"/>
  <c r="H27" i="14"/>
  <c r="G27" i="14"/>
  <c r="I27" i="14" s="1"/>
  <c r="J27" i="14" s="1"/>
  <c r="G39" i="14"/>
  <c r="N17" i="14"/>
  <c r="N18" i="14"/>
  <c r="N19" i="14"/>
  <c r="N20" i="14"/>
  <c r="N25" i="14"/>
  <c r="N26" i="14"/>
  <c r="N15" i="14"/>
  <c r="J16" i="14"/>
  <c r="J22" i="14"/>
  <c r="J23" i="14"/>
  <c r="J24" i="14"/>
  <c r="I15" i="14"/>
  <c r="J15" i="14" s="1"/>
  <c r="M15" i="14"/>
  <c r="I16" i="14"/>
  <c r="M16" i="14"/>
  <c r="N16" i="14" s="1"/>
  <c r="I17" i="14"/>
  <c r="J17" i="14" s="1"/>
  <c r="M17" i="14"/>
  <c r="I18" i="14"/>
  <c r="J18" i="14" s="1"/>
  <c r="M18" i="14"/>
  <c r="I19" i="14"/>
  <c r="J19" i="14" s="1"/>
  <c r="M19" i="14"/>
  <c r="I20" i="14"/>
  <c r="J20" i="14" s="1"/>
  <c r="M20" i="14"/>
  <c r="I21" i="14"/>
  <c r="J21" i="14" s="1"/>
  <c r="M21" i="14"/>
  <c r="N21" i="14" s="1"/>
  <c r="I22" i="14"/>
  <c r="M22" i="14"/>
  <c r="N22" i="14" s="1"/>
  <c r="I23" i="14"/>
  <c r="M23" i="14"/>
  <c r="N23" i="14" s="1"/>
  <c r="I24" i="14"/>
  <c r="M24" i="14"/>
  <c r="N24" i="14" s="1"/>
  <c r="I25" i="14"/>
  <c r="J25" i="14" s="1"/>
  <c r="M25" i="14"/>
  <c r="I26" i="14"/>
  <c r="J26" i="14" s="1"/>
  <c r="M26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H39" i="14"/>
  <c r="I39" i="14"/>
  <c r="J39" i="14"/>
  <c r="K39" i="14"/>
  <c r="L39" i="14"/>
  <c r="M39" i="14"/>
  <c r="N39" i="14"/>
  <c r="O39" i="14"/>
  <c r="P39" i="14"/>
  <c r="Q39" i="14"/>
  <c r="R39" i="14"/>
  <c r="O38" i="6"/>
  <c r="O39" i="6"/>
  <c r="O40" i="6"/>
  <c r="O41" i="6"/>
  <c r="O42" i="6"/>
  <c r="O43" i="6"/>
  <c r="O37" i="6"/>
  <c r="P38" i="6"/>
  <c r="P39" i="6"/>
  <c r="P40" i="6"/>
  <c r="P41" i="6"/>
  <c r="P42" i="6"/>
  <c r="P43" i="6"/>
  <c r="P37" i="6"/>
  <c r="W25" i="6"/>
  <c r="X26" i="6"/>
  <c r="X27" i="6"/>
  <c r="X28" i="6"/>
  <c r="X29" i="6"/>
  <c r="X30" i="6"/>
  <c r="X31" i="6"/>
  <c r="X25" i="6"/>
  <c r="T25" i="6" s="1"/>
  <c r="T26" i="6"/>
  <c r="T27" i="6"/>
  <c r="T28" i="6"/>
  <c r="T29" i="6"/>
  <c r="T30" i="6"/>
  <c r="T31" i="6"/>
  <c r="P26" i="6"/>
  <c r="P27" i="6"/>
  <c r="P28" i="6"/>
  <c r="P29" i="6"/>
  <c r="P30" i="6"/>
  <c r="P31" i="6"/>
  <c r="P25" i="6"/>
  <c r="O30" i="6"/>
  <c r="O31" i="6"/>
  <c r="L25" i="6"/>
  <c r="O27" i="6" s="1"/>
  <c r="L26" i="6"/>
  <c r="O28" i="6" s="1"/>
  <c r="L27" i="6"/>
  <c r="O29" i="6" s="1"/>
  <c r="L28" i="6"/>
  <c r="L29" i="6"/>
  <c r="L30" i="6"/>
  <c r="S25" i="6" s="1"/>
  <c r="L31" i="6"/>
  <c r="S26" i="6" s="1"/>
  <c r="L32" i="6"/>
  <c r="S27" i="6" s="1"/>
  <c r="L33" i="6"/>
  <c r="S28" i="6" s="1"/>
  <c r="L34" i="6"/>
  <c r="S29" i="6" s="1"/>
  <c r="L35" i="6"/>
  <c r="S30" i="6" s="1"/>
  <c r="L36" i="6"/>
  <c r="S31" i="6" s="1"/>
  <c r="L37" i="6"/>
  <c r="L38" i="6"/>
  <c r="W26" i="6" s="1"/>
  <c r="L39" i="6"/>
  <c r="W27" i="6" s="1"/>
  <c r="L40" i="6"/>
  <c r="W28" i="6" s="1"/>
  <c r="L41" i="6"/>
  <c r="W29" i="6" s="1"/>
  <c r="L42" i="6"/>
  <c r="W30" i="6" s="1"/>
  <c r="L43" i="6"/>
  <c r="W31" i="6" s="1"/>
  <c r="L24" i="6"/>
  <c r="O26" i="6" s="1"/>
  <c r="L23" i="6"/>
  <c r="O25" i="6" s="1"/>
  <c r="H15" i="11" a="1"/>
  <c r="H15" i="11" s="1"/>
  <c r="G15" i="11" a="1"/>
  <c r="G15" i="11" s="1"/>
  <c r="H17" i="11" a="1"/>
  <c r="H17" i="11" s="1"/>
  <c r="G17" i="11" a="1"/>
  <c r="G17" i="11" s="1"/>
  <c r="H16" i="11" a="1"/>
  <c r="H16" i="11" s="1"/>
  <c r="G16" i="11" a="1"/>
  <c r="G16" i="11" s="1"/>
  <c r="I16" i="11" s="1"/>
  <c r="F16" i="11"/>
  <c r="F15" i="11"/>
  <c r="F17" i="11"/>
  <c r="K38" i="3" l="1"/>
  <c r="J55" i="3"/>
  <c r="K55" i="3" s="1"/>
  <c r="J54" i="3"/>
  <c r="K54" i="3" s="1"/>
  <c r="J57" i="3"/>
  <c r="K57" i="3" s="1"/>
  <c r="K39" i="3"/>
  <c r="H46" i="3"/>
  <c r="I34" i="3"/>
  <c r="J32" i="3"/>
  <c r="J56" i="3"/>
  <c r="K56" i="3" s="1"/>
  <c r="H47" i="3"/>
  <c r="J36" i="3"/>
  <c r="H45" i="3"/>
  <c r="I36" i="3"/>
  <c r="K22" i="3"/>
  <c r="H32" i="3"/>
  <c r="K32" i="3"/>
  <c r="K34" i="3"/>
  <c r="K36" i="3"/>
  <c r="N22" i="3"/>
  <c r="O22" i="3" s="1"/>
  <c r="R22" i="3"/>
  <c r="S22" i="3" s="1"/>
  <c r="H34" i="3"/>
  <c r="S37" i="14"/>
  <c r="J38" i="14"/>
  <c r="R38" i="14"/>
  <c r="K38" i="14"/>
  <c r="S38" i="14"/>
  <c r="L38" i="14"/>
  <c r="M38" i="14"/>
  <c r="G38" i="14"/>
  <c r="O38" i="14"/>
  <c r="H38" i="14"/>
  <c r="S39" i="14"/>
  <c r="I15" i="11"/>
  <c r="I17" i="11"/>
  <c r="C9" i="7"/>
  <c r="J7" i="11"/>
  <c r="J6" i="11"/>
  <c r="J5" i="11"/>
  <c r="H61" i="3" l="1"/>
  <c r="P38" i="14"/>
  <c r="I38" i="14"/>
  <c r="N38" i="14"/>
  <c r="Q38" i="14"/>
  <c r="S40" i="14"/>
  <c r="R40" i="14"/>
  <c r="Q40" i="14"/>
  <c r="I40" i="14"/>
  <c r="P40" i="14"/>
  <c r="H40" i="14"/>
  <c r="O40" i="14"/>
  <c r="N40" i="14"/>
  <c r="M40" i="14"/>
  <c r="L40" i="14"/>
  <c r="K40" i="14"/>
  <c r="J40" i="14"/>
  <c r="G40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<sst xmlns="http://schemas.openxmlformats.org/spreadsheetml/2006/main" count="235" uniqueCount="123">
  <si>
    <t>Задание:</t>
  </si>
  <si>
    <r>
      <t xml:space="preserve">1. Сделать </t>
    </r>
    <r>
      <rPr>
        <b/>
        <sz val="11"/>
        <color theme="1"/>
        <rFont val="Calibri"/>
        <family val="2"/>
        <charset val="204"/>
        <scheme val="minor"/>
      </rPr>
      <t>горизонтальный анализ</t>
    </r>
    <r>
      <rPr>
        <sz val="11"/>
        <color theme="1"/>
        <rFont val="Calibri"/>
        <family val="2"/>
        <scheme val="minor"/>
      </rPr>
      <t xml:space="preserve"> по всем показателям по всем менеджерам</t>
    </r>
  </si>
  <si>
    <r>
      <t xml:space="preserve">2. Сделать </t>
    </r>
    <r>
      <rPr>
        <b/>
        <sz val="11"/>
        <color theme="1"/>
        <rFont val="Calibri"/>
        <family val="2"/>
        <charset val="204"/>
        <scheme val="minor"/>
      </rPr>
      <t>вертикальный анализ</t>
    </r>
    <r>
      <rPr>
        <sz val="11"/>
        <color theme="1"/>
        <rFont val="Calibri"/>
        <family val="2"/>
        <scheme val="minor"/>
      </rPr>
      <t xml:space="preserve"> всех показателей по менеджерам, добавить показатели: Продажи (Закрытые клиенты х Ср чек клиента) и Конверсия из звонков в клиента (100% х Закрытые клиенты / Звонков сделано)</t>
    </r>
  </si>
  <si>
    <r>
      <t xml:space="preserve">3. Сделать </t>
    </r>
    <r>
      <rPr>
        <b/>
        <sz val="11"/>
        <color theme="1"/>
        <rFont val="Calibri"/>
        <family val="2"/>
        <charset val="204"/>
        <scheme val="minor"/>
      </rPr>
      <t>факторный анализ</t>
    </r>
    <r>
      <rPr>
        <sz val="11"/>
        <color theme="1"/>
        <rFont val="Calibri"/>
        <family val="2"/>
        <scheme val="minor"/>
      </rPr>
      <t xml:space="preserve"> отклонения Продаж по </t>
    </r>
    <r>
      <rPr>
        <b/>
        <sz val="11"/>
        <color theme="1"/>
        <rFont val="Calibri"/>
        <family val="2"/>
        <charset val="204"/>
        <scheme val="minor"/>
      </rPr>
      <t>Закрытым клиентам и Ср чеку клиента</t>
    </r>
    <r>
      <rPr>
        <sz val="11"/>
        <color theme="1"/>
        <rFont val="Calibri"/>
        <family val="2"/>
        <scheme val="minor"/>
      </rPr>
      <t xml:space="preserve"> по всем менеджерам</t>
    </r>
  </si>
  <si>
    <t>Менеджер</t>
  </si>
  <si>
    <t>Показатель</t>
  </si>
  <si>
    <t>План</t>
  </si>
  <si>
    <t>Факт</t>
  </si>
  <si>
    <t>Менеджер 1</t>
  </si>
  <si>
    <t>Звонков сделано</t>
  </si>
  <si>
    <t>Закрыто клиентов</t>
  </si>
  <si>
    <t>Ср чек клиента</t>
  </si>
  <si>
    <t>Менеджер 2</t>
  </si>
  <si>
    <t>Менеджер 3</t>
  </si>
  <si>
    <t>4. Сделать упражнения 1 и 3 по всему отделу</t>
  </si>
  <si>
    <t>Вводные:</t>
  </si>
  <si>
    <t>Платые подписки</t>
  </si>
  <si>
    <t>-кол-во оформленных платных подписок в текущий месяц</t>
  </si>
  <si>
    <t>Средний чек</t>
  </si>
  <si>
    <t>Дата</t>
  </si>
  <si>
    <t>Платных подписок</t>
  </si>
  <si>
    <t>Задание 1</t>
  </si>
  <si>
    <t>Задание 2</t>
  </si>
  <si>
    <t>Задание 3</t>
  </si>
  <si>
    <t>5 (опционально). Дать рекомендации Руководителю отдела продаж по эффективности работы его отдела</t>
  </si>
  <si>
    <t>6 (опционально). Придумать индикаторы, которые помогут лучше отслеживать эффективность работы отдела в будущем</t>
  </si>
  <si>
    <t>Это домашнее задание (Итоговый балл) имеем вес 0,1 от итоговой оценки за дисциплину Семинар наставника (1 семестр)</t>
  </si>
  <si>
    <t>pipeline_id</t>
  </si>
  <si>
    <t>Вводные</t>
  </si>
  <si>
    <t>pipeline_fact</t>
  </si>
  <si>
    <t>Задание</t>
  </si>
  <si>
    <t>Даны две таблицы</t>
  </si>
  <si>
    <t>forecast_time_start</t>
  </si>
  <si>
    <t>fact_dt_start</t>
  </si>
  <si>
    <t>fact_dt_finish</t>
  </si>
  <si>
    <t>1. pipeline_fact - факты поставок данных по дням с полями</t>
  </si>
  <si>
    <t>pipeline_forecast</t>
  </si>
  <si>
    <t>2. pipeline_forecast - прогнозы поставок данных по времени с полями</t>
  </si>
  <si>
    <t>- pipeline_id - уникальный идентификатор поставки данных</t>
  </si>
  <si>
    <t>- forecast_time_start - прогнозное время запуска поставки</t>
  </si>
  <si>
    <t>-fact_dt_start - фактическая дата и время запуска поставки</t>
  </si>
  <si>
    <t>-fact_dt_finish - фактическая дата и время завершения поставки</t>
  </si>
  <si>
    <t>- forecast_time_finish - прогнозное время завершения поставки</t>
  </si>
  <si>
    <t>1. Сделать горизонтальный анализ времени поставки по всем потокам данных по фактическому времени в сравнении с прогнозным временем</t>
  </si>
  <si>
    <t>2. Сделать горизонтальный анализ времени поставки по всем потокам данных по фактическому времени с самой ранней датой в таблице в сравнении с самой поздней датой</t>
  </si>
  <si>
    <t>3 (опционально). Интерпритируйте полученные цифры и предложите следующие шаги/проекты</t>
  </si>
  <si>
    <r>
      <t xml:space="preserve">1. Сделать </t>
    </r>
    <r>
      <rPr>
        <b/>
        <sz val="11"/>
        <color theme="1"/>
        <rFont val="Calibri"/>
        <family val="2"/>
        <charset val="204"/>
        <scheme val="minor"/>
      </rPr>
      <t xml:space="preserve">горизонтальный анализ </t>
    </r>
    <r>
      <rPr>
        <sz val="11"/>
        <color theme="1"/>
        <rFont val="Calibri"/>
        <family val="2"/>
        <charset val="204"/>
        <scheme val="minor"/>
      </rPr>
      <t>в динамике по месяцам год к году</t>
    </r>
  </si>
  <si>
    <r>
      <t xml:space="preserve">2. Сделать </t>
    </r>
    <r>
      <rPr>
        <b/>
        <sz val="11"/>
        <color theme="1"/>
        <rFont val="Calibri"/>
        <family val="2"/>
        <charset val="204"/>
        <scheme val="minor"/>
      </rPr>
      <t>вертикальный анализ</t>
    </r>
    <r>
      <rPr>
        <sz val="11"/>
        <color theme="1"/>
        <rFont val="Calibri"/>
        <family val="2"/>
        <scheme val="minor"/>
      </rPr>
      <t xml:space="preserve"> показателей по месяцам в 2022 году в сравнении со средним показателем по году</t>
    </r>
  </si>
  <si>
    <t>3. В один из месяцев была акция - что это за месяц? Насколько она была эффективной?</t>
  </si>
  <si>
    <t>1. Дана таблица эффектиности менеджеров по продажам</t>
  </si>
  <si>
    <t>2. Отслеживаются плановые и фактические показатели зконков, клиентов и среднего чека</t>
  </si>
  <si>
    <t>user_id</t>
  </si>
  <si>
    <t>latency</t>
  </si>
  <si>
    <t>уникальный идентификатор пользователя</t>
  </si>
  <si>
    <t>p50</t>
  </si>
  <si>
    <t>p90</t>
  </si>
  <si>
    <t>p99</t>
  </si>
  <si>
    <t>Задание 4</t>
  </si>
  <si>
    <t>имеет вес</t>
  </si>
  <si>
    <t>процентиль</t>
  </si>
  <si>
    <t>1. Посчитить 50-й, 90-й и 99-й процентили времени отклика сайта</t>
  </si>
  <si>
    <t>2. (опционально) А как бы эти значения считались в SQL и Python?</t>
  </si>
  <si>
    <t>Балл Задание 1</t>
  </si>
  <si>
    <t>Балл Задание 2</t>
  </si>
  <si>
    <t>Балл Задание 3</t>
  </si>
  <si>
    <t>Балл Задание 4</t>
  </si>
  <si>
    <t>Итоговый балл</t>
  </si>
  <si>
    <t>forecast_time_finish</t>
  </si>
  <si>
    <t>Домашнее задание состоит из 3 частей</t>
  </si>
  <si>
    <t>время отклика сайта в миллисекундах</t>
  </si>
  <si>
    <t>-средняя стоимость оформленных платных подписок в текущий месяц (предполагаем, что нас интересует только итоговая цифра, без детализации на типы подписок)</t>
  </si>
  <si>
    <t>позиция</t>
  </si>
  <si>
    <t>нижнее</t>
  </si>
  <si>
    <t>верхнее</t>
  </si>
  <si>
    <t>интерполяция</t>
  </si>
  <si>
    <t>РЕШЕНИЕ:</t>
  </si>
  <si>
    <t>Факт 03.09</t>
  </si>
  <si>
    <t xml:space="preserve">Прогноз </t>
  </si>
  <si>
    <t>Отклонение</t>
  </si>
  <si>
    <t>время выполнения</t>
  </si>
  <si>
    <t>дата</t>
  </si>
  <si>
    <t>Откл.</t>
  </si>
  <si>
    <t>Откл. %</t>
  </si>
  <si>
    <t>Факт 17.09</t>
  </si>
  <si>
    <t>Время выполнения: Фактическое VS Прогнозное</t>
  </si>
  <si>
    <t>Фактическое время выполнения: 17.09 VS 03.09</t>
  </si>
  <si>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</si>
  <si>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</si>
  <si>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</si>
  <si>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</si>
  <si>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</si>
  <si>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</si>
  <si>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</si>
  <si>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</si>
  <si>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</si>
  <si>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</si>
  <si>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</si>
  <si>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</si>
  <si>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</si>
  <si>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Платные подписки</t>
  </si>
  <si>
    <t>2021 г.</t>
  </si>
  <si>
    <t>2022 г.</t>
  </si>
  <si>
    <t>Ср. знач.</t>
  </si>
  <si>
    <t>Отклонение от среднего</t>
  </si>
  <si>
    <t>условная выручка</t>
  </si>
  <si>
    <t>июнь</t>
  </si>
  <si>
    <t>среднемесячная</t>
  </si>
  <si>
    <t>отклонение</t>
  </si>
  <si>
    <t>Продажи</t>
  </si>
  <si>
    <t>Доля от общ.</t>
  </si>
  <si>
    <t>Всего</t>
  </si>
  <si>
    <t>М. 1</t>
  </si>
  <si>
    <t>М. 2</t>
  </si>
  <si>
    <t>М. 3</t>
  </si>
  <si>
    <t>Ср. чек</t>
  </si>
  <si>
    <t>Конверсия</t>
  </si>
  <si>
    <t>Отклонение продаж</t>
  </si>
  <si>
    <t>За счет клиентов</t>
  </si>
  <si>
    <t>За счет среднего чека</t>
  </si>
  <si>
    <t>Весь отдел</t>
  </si>
  <si>
    <t>Отдел</t>
  </si>
  <si>
    <t>В среднем по отделу</t>
  </si>
  <si>
    <t>Итого / Сред.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</si>
</sst>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:ss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/>
      <name val="Calibri"/>
      <family val="2"/>
      <charset val="204"/>
      <scheme val="minor"/>
    </font>
    <font>
      <b/>
      <sz val="10"/>
      <color theme="9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5">
    <xf numFmtId="0" fontId="0" fillId="0" borderId="0" xfId="0"/>
    <xf numFmtId="0" fontId="5" fillId="0" borderId="0" xfId="0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 applyAlignment="1">
      <alignment horizontal="center"/>
    </xf>
    <xf numFmtId="0" fontId="7" fillId="0" borderId="0" xfId="1"/>
    <xf numFmtId="0" fontId="6" fillId="0" borderId="0" xfId="0" applyFont="1"/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21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/>
    <xf numFmtId="0" fontId="8" fillId="3" borderId="0" xfId="0" applyFont="1" applyFill="1"/>
    <xf numFmtId="0" fontId="10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0" xfId="0" applyFont="1"/>
    <xf numFmtId="0" fontId="0" fillId="0" borderId="1" xfId="0" applyBorder="1"/>
    <xf numFmtId="0" fontId="0" fillId="0" borderId="2" xfId="0" applyBorder="1"/>
    <xf numFmtId="0" fontId="0" fillId="0" borderId="5" xfId="0" applyBorder="1"/>
    <xf numFmtId="14" fontId="0" fillId="0" borderId="0" xfId="0" applyNumberFormat="1" applyBorder="1"/>
    <xf numFmtId="0" fontId="0" fillId="0" borderId="0" xfId="0" applyBorder="1"/>
    <xf numFmtId="0" fontId="0" fillId="0" borderId="0" xfId="0" applyBorder="1" applyAlignment="1"/>
    <xf numFmtId="0" fontId="0" fillId="0" borderId="7" xfId="0" applyBorder="1"/>
    <xf numFmtId="165" fontId="0" fillId="0" borderId="0" xfId="0" applyNumberFormat="1" applyBorder="1"/>
    <xf numFmtId="165" fontId="0" fillId="0" borderId="6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0" fillId="0" borderId="0" xfId="0" applyNumberFormat="1" applyBorder="1" applyAlignment="1">
      <alignment horizontal="right"/>
    </xf>
    <xf numFmtId="0" fontId="0" fillId="0" borderId="4" xfId="0" applyBorder="1"/>
    <xf numFmtId="0" fontId="0" fillId="0" borderId="6" xfId="0" applyFill="1" applyBorder="1" applyAlignment="1"/>
    <xf numFmtId="0" fontId="0" fillId="0" borderId="8" xfId="0" applyNumberFormat="1" applyBorder="1" applyAlignment="1">
      <alignment horizontal="right"/>
    </xf>
    <xf numFmtId="14" fontId="0" fillId="0" borderId="5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0" fontId="0" fillId="0" borderId="8" xfId="0" applyBorder="1" applyAlignment="1">
      <alignment horizontal="center"/>
    </xf>
    <xf numFmtId="0" fontId="9" fillId="0" borderId="0" xfId="0" applyFont="1"/>
    <xf numFmtId="0" fontId="0" fillId="0" borderId="8" xfId="0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0" fillId="0" borderId="0" xfId="0" applyNumberFormat="1" applyBorder="1" applyAlignment="1">
      <alignment horizontal="right"/>
    </xf>
    <xf numFmtId="3" fontId="0" fillId="0" borderId="0" xfId="0" applyNumberFormat="1" applyBorder="1"/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0" fontId="0" fillId="0" borderId="6" xfId="0" applyNumberFormat="1" applyBorder="1"/>
    <xf numFmtId="10" fontId="0" fillId="0" borderId="9" xfId="0" applyNumberFormat="1" applyBorder="1"/>
    <xf numFmtId="10" fontId="0" fillId="0" borderId="4" xfId="0" applyNumberFormat="1" applyBorder="1"/>
    <xf numFmtId="0" fontId="0" fillId="0" borderId="5" xfId="0" applyBorder="1" applyAlignment="1">
      <alignment horizontal="center" wrapText="1"/>
    </xf>
    <xf numFmtId="10" fontId="0" fillId="0" borderId="8" xfId="0" applyNumberFormat="1" applyBorder="1"/>
    <xf numFmtId="3" fontId="0" fillId="0" borderId="3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3" fontId="5" fillId="0" borderId="12" xfId="0" applyNumberFormat="1" applyFont="1" applyBorder="1"/>
    <xf numFmtId="10" fontId="5" fillId="0" borderId="11" xfId="0" applyNumberFormat="1" applyFont="1" applyBorder="1"/>
    <xf numFmtId="3" fontId="5" fillId="0" borderId="12" xfId="0" applyNumberFormat="1" applyFont="1" applyBorder="1" applyAlignment="1">
      <alignment horizontal="right"/>
    </xf>
    <xf numFmtId="0" fontId="0" fillId="0" borderId="15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4" xfId="0" applyFont="1" applyBorder="1"/>
    <xf numFmtId="3" fontId="5" fillId="0" borderId="14" xfId="0" applyNumberFormat="1" applyFont="1" applyBorder="1"/>
    <xf numFmtId="3" fontId="5" fillId="0" borderId="15" xfId="0" applyNumberFormat="1" applyFont="1" applyBorder="1"/>
    <xf numFmtId="10" fontId="2" fillId="0" borderId="13" xfId="0" applyNumberFormat="1" applyFont="1" applyBorder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3" fontId="0" fillId="0" borderId="0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/>
    <xf numFmtId="10" fontId="0" fillId="0" borderId="0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/>
    <xf numFmtId="0" fontId="5" fillId="0" borderId="1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0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3" fontId="1" fillId="0" borderId="0" xfId="0" applyNumberFormat="1" applyFont="1" applyBorder="1"/>
    <xf numFmtId="10" fontId="1" fillId="0" borderId="0" xfId="0" applyNumberFormat="1" applyFont="1" applyBorder="1"/>
    <xf numFmtId="0" fontId="5" fillId="0" borderId="12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8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27</xdr:row>
      <xdr:rowOff>152400</xdr:rowOff>
    </xdr:from>
    <xdr:ext cx="8213018" cy="609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C3AAE-BE65-2D24-66E7-5EAAB910ABDE}"/>
            </a:ext>
          </a:extLst>
        </xdr:cNvPr>
        <xdr:cNvSpPr txBox="1"/>
      </xdr:nvSpPr>
      <xdr:spPr>
        <a:xfrm>
          <a:off x="5520267" y="5181600"/>
          <a:ext cx="8213018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/>
            <a:t>- </a:t>
          </a:r>
          <a:r>
            <a:rPr lang="ru-RU"/>
            <a:t>В 2022 году количество платных подписок увеличилось относительно 2021 года на 1</a:t>
          </a:r>
          <a:r>
            <a:rPr lang="en-US"/>
            <a:t>,95%</a:t>
          </a:r>
          <a:r>
            <a:rPr lang="ru-RU"/>
            <a:t>: рост наблюдается в 8 из 12 месяцев.</a:t>
          </a:r>
        </a:p>
        <a:p>
          <a:r>
            <a:rPr lang="en-US"/>
            <a:t>- </a:t>
          </a:r>
          <a:r>
            <a:rPr lang="ru-RU"/>
            <a:t>Наибольший рост зафиксирован в июне на 11,1%, наибольшее снижение в июле на 14,4%.</a:t>
          </a:r>
        </a:p>
        <a:p>
          <a:r>
            <a:rPr lang="en-US"/>
            <a:t>- </a:t>
          </a:r>
          <a:r>
            <a:rPr lang="ru-RU"/>
            <a:t>Средний чек в большинстве месяцев также вырос или сохранился примерно на уровне предыдущего года.</a:t>
          </a:r>
          <a:r>
            <a:rPr lang="en-US"/>
            <a:t> </a:t>
          </a:r>
          <a:r>
            <a:rPr lang="ru-RU"/>
            <a:t>В</a:t>
          </a:r>
          <a:r>
            <a:rPr lang="ru-RU" baseline="0"/>
            <a:t> целом вырос на 2</a:t>
          </a:r>
          <a:r>
            <a:rPr lang="en-US" baseline="0"/>
            <a:t>,05%.</a:t>
          </a:r>
          <a:endParaRPr lang="ru-RU" sz="1100"/>
        </a:p>
      </xdr:txBody>
    </xdr:sp>
    <xdr:clientData/>
  </xdr:oneCellAnchor>
  <xdr:oneCellAnchor>
    <xdr:from>
      <xdr:col>5</xdr:col>
      <xdr:colOff>25400</xdr:colOff>
      <xdr:row>40</xdr:row>
      <xdr:rowOff>118534</xdr:rowOff>
    </xdr:from>
    <xdr:ext cx="9279466" cy="7812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D5BC5A-7CA0-470A-A690-C0AA0555522D}"/>
            </a:ext>
          </a:extLst>
        </xdr:cNvPr>
        <xdr:cNvSpPr txBox="1"/>
      </xdr:nvSpPr>
      <xdr:spPr>
        <a:xfrm>
          <a:off x="5545667" y="8102601"/>
          <a:ext cx="927946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/>
            <a:t>- Среднее количество платных подписок в 2022 году составило 2 066, средний чек — 504.</a:t>
          </a:r>
        </a:p>
        <a:p>
          <a:r>
            <a:rPr lang="ru-RU"/>
            <a:t>- Наибольшее положительное отклонение количества подписок от среднего наблюдается в июне (+18,76%), при этом средний чек в этом месяце, наоборот, имеет наибольшее отрицательное отклонение (-14,94%).</a:t>
          </a:r>
        </a:p>
        <a:p>
          <a:r>
            <a:rPr lang="ru-RU"/>
            <a:t>- Также высокое количество подписок наблюдается в ноябре и декабре.</a:t>
          </a:r>
          <a:endParaRPr lang="ru-RU" sz="1100"/>
        </a:p>
      </xdr:txBody>
    </xdr:sp>
    <xdr:clientData/>
  </xdr:oneCellAnchor>
  <xdr:oneCellAnchor>
    <xdr:from>
      <xdr:col>5</xdr:col>
      <xdr:colOff>1</xdr:colOff>
      <xdr:row>48</xdr:row>
      <xdr:rowOff>152399</xdr:rowOff>
    </xdr:from>
    <xdr:ext cx="8750458" cy="129791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479A38-87F3-315F-787E-6B11382BA836}"/>
            </a:ext>
          </a:extLst>
        </xdr:cNvPr>
        <xdr:cNvSpPr txBox="1"/>
      </xdr:nvSpPr>
      <xdr:spPr>
        <a:xfrm>
          <a:off x="5520268" y="9626599"/>
          <a:ext cx="8750458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/>
            <a:t>Наиболее вероятно, что акция проводилась в июне. В этом месяце количество платных подписок было максимальным 2 453</a:t>
          </a:r>
          <a:r>
            <a:rPr lang="ru-RU" baseline="0"/>
            <a:t> (</a:t>
          </a:r>
          <a:r>
            <a:rPr lang="ru-RU"/>
            <a:t>на 18,76% выше среднего за год). Одновременно средний чек снизился до 429</a:t>
          </a:r>
          <a:r>
            <a:rPr lang="ru-RU" baseline="0"/>
            <a:t> (</a:t>
          </a:r>
          <a:r>
            <a:rPr lang="ru-RU"/>
            <a:t>на 14,94% ниже среднего).</a:t>
          </a:r>
        </a:p>
        <a:p>
          <a:endParaRPr lang="ru-RU"/>
        </a:p>
        <a:p>
          <a:r>
            <a:rPr lang="ru-RU"/>
            <a:t>Если оценить условную выручку как произведение количества подписок на средний чек, в июне она составила 1 052 337, что примерно на 1,3% выше среднемесячного значения за 2022 год. Следовательно, акция заметно увеличила количество оформленных подписок, однако снижение среднего чека почти полностью компенсировало этот рост. Хоть</a:t>
          </a:r>
          <a:r>
            <a:rPr lang="ru-RU" baseline="0"/>
            <a:t> выручка почти не увеличилась</a:t>
          </a:r>
          <a:r>
            <a:rPr lang="en-US" baseline="0"/>
            <a:t>, </a:t>
          </a:r>
          <a:r>
            <a:rPr lang="ru-RU" baseline="0"/>
            <a:t>сильно увеличилось количество пользователей</a:t>
          </a:r>
          <a:r>
            <a:rPr lang="en-US" baseline="0"/>
            <a:t>, </a:t>
          </a:r>
          <a:r>
            <a:rPr lang="ru-RU" baseline="0"/>
            <a:t>что потеницально должно увеличить дальнейшую прибыль в последствии</a:t>
          </a:r>
          <a:r>
            <a:rPr lang="en-US" baseline="0"/>
            <a:t>,</a:t>
          </a:r>
          <a:r>
            <a:rPr lang="ru-RU" baseline="0"/>
            <a:t> так как товар это подписка</a:t>
          </a:r>
          <a:r>
            <a:rPr lang="ru-RU"/>
            <a:t>.</a:t>
          </a:r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205740</xdr:colOff>
      <xdr:row>23</xdr:row>
      <xdr:rowOff>22860</xdr:rowOff>
    </xdr:from>
    <xdr:ext cx="9355574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D04982-33BB-CD34-D558-55261A6FC4A6}"/>
            </a:ext>
          </a:extLst>
        </xdr:cNvPr>
        <xdr:cNvSpPr txBox="1"/>
      </xdr:nvSpPr>
      <xdr:spPr>
        <a:xfrm>
          <a:off x="6393180" y="4229100"/>
          <a:ext cx="9355574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/>
            <a:t>- </a:t>
          </a:r>
          <a:r>
            <a:rPr lang="ru-RU"/>
            <a:t>Менеджер 1 при снижении количества звонков на 10% увеличил количество закрытых клиентов на 20%, в результате продажи превысили план на 24%.</a:t>
          </a:r>
          <a:endParaRPr lang="en-US"/>
        </a:p>
        <a:p>
          <a:r>
            <a:rPr lang="en-US"/>
            <a:t>- </a:t>
          </a:r>
          <a:r>
            <a:rPr lang="ru-RU"/>
            <a:t>Менеджер 2 увеличил количество звонков на 40%, однако продажи выросли только на 2,67% из-за снижения среднего чека.</a:t>
          </a:r>
          <a:endParaRPr lang="en-US"/>
        </a:p>
        <a:p>
          <a:r>
            <a:rPr lang="en-US"/>
            <a:t>- </a:t>
          </a:r>
          <a:r>
            <a:rPr lang="ru-RU"/>
            <a:t>У менеджера 3 количество закрытых клиентов оказалось ниже плана на 20%, вследствие чего продажи снизились на 14,67%.</a:t>
          </a:r>
          <a:endParaRPr lang="ru-RU" sz="1100"/>
        </a:p>
      </xdr:txBody>
    </xdr:sp>
    <xdr:clientData/>
  </xdr:oneCellAnchor>
  <xdr:oneCellAnchor>
    <xdr:from>
      <xdr:col>11</xdr:col>
      <xdr:colOff>198120</xdr:colOff>
      <xdr:row>31</xdr:row>
      <xdr:rowOff>114300</xdr:rowOff>
    </xdr:from>
    <xdr:ext cx="6271260" cy="9534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B8B967-7858-D525-75BC-CBA6B2C9EBA0}"/>
            </a:ext>
          </a:extLst>
        </xdr:cNvPr>
        <xdr:cNvSpPr txBox="1"/>
      </xdr:nvSpPr>
      <xdr:spPr>
        <a:xfrm>
          <a:off x="10767060" y="5783580"/>
          <a:ext cx="6271260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/>
            <a:t>- Наибольшую долю звонков обеспечивает менеджер 2 </a:t>
          </a:r>
          <a:r>
            <a:rPr lang="en-US"/>
            <a:t>(</a:t>
          </a:r>
          <a:r>
            <a:rPr lang="ru-RU"/>
            <a:t>50,91%</a:t>
          </a:r>
          <a:r>
            <a:rPr lang="en-US"/>
            <a:t>)</a:t>
          </a:r>
          <a:r>
            <a:rPr lang="ru-RU"/>
            <a:t>, однако наибольший вклад в количество закрытых клиентов и продажи вносит менеджер 1 </a:t>
          </a:r>
          <a:r>
            <a:rPr lang="en-US"/>
            <a:t>(</a:t>
          </a:r>
          <a:r>
            <a:rPr lang="ru-RU"/>
            <a:t>44,44% и 46,04% соответственно</a:t>
          </a:r>
          <a:r>
            <a:rPr lang="en-US"/>
            <a:t>)</a:t>
          </a:r>
          <a:r>
            <a:rPr lang="ru-RU"/>
            <a:t>.</a:t>
          </a:r>
          <a:endParaRPr lang="en-US"/>
        </a:p>
        <a:p>
          <a:r>
            <a:rPr lang="ru-RU"/>
            <a:t>- Менеджер 1 также показывает самую высокую конверсию в 13,33%.</a:t>
          </a:r>
          <a:endParaRPr lang="en-US"/>
        </a:p>
        <a:p>
          <a:r>
            <a:rPr lang="ru-RU"/>
            <a:t>- Менеджер 3 имеет самый высокий средний чек (160 000), но его доля в общих продажах является наименьшей (15,84%).</a:t>
          </a:r>
          <a:endParaRPr lang="ru-RU" sz="1100"/>
        </a:p>
      </xdr:txBody>
    </xdr:sp>
    <xdr:clientData/>
  </xdr:oneCellAnchor>
  <xdr:oneCellAnchor>
    <xdr:from>
      <xdr:col>10</xdr:col>
      <xdr:colOff>304800</xdr:colOff>
      <xdr:row>43</xdr:row>
      <xdr:rowOff>15240</xdr:rowOff>
    </xdr:from>
    <xdr:ext cx="7284720" cy="112569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970E70-E585-AACB-5904-CCF47EE230E8}"/>
            </a:ext>
          </a:extLst>
        </xdr:cNvPr>
        <xdr:cNvSpPr txBox="1"/>
      </xdr:nvSpPr>
      <xdr:spPr>
        <a:xfrm>
          <a:off x="10066020" y="7879080"/>
          <a:ext cx="7284720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/>
            <a:t>- У менеджера 1 рост количества закрытых клиентов увеличил продажи на 300 000, а рост среднего чека — ещё на 60 000, что обеспечило итоговое превышение плана на 360 000.</a:t>
          </a:r>
        </a:p>
        <a:p>
          <a:r>
            <a:rPr lang="ru-RU"/>
            <a:t>- У менеджера 2 рост числа клиентов дал дополнительно 150 000, однако снижение среднего чека уменьшило продажи на 110 000, поэтому итоговый рост составил только 40 000.</a:t>
          </a:r>
        </a:p>
        <a:p>
          <a:r>
            <a:rPr lang="ru-RU"/>
            <a:t>- У менеджера 3 снижение количества клиентов уменьшило продажи на 150 000, при этом увеличение среднего чека компенсировало 40 000, в результате продажи оказались ниже плана на 110 000.</a:t>
          </a:r>
          <a:endParaRPr lang="ru-RU" sz="1100"/>
        </a:p>
      </xdr:txBody>
    </xdr:sp>
    <xdr:clientData/>
  </xdr:oneCellAnchor>
  <xdr:oneCellAnchor>
    <xdr:from>
      <xdr:col>11</xdr:col>
      <xdr:colOff>289561</xdr:colOff>
      <xdr:row>54</xdr:row>
      <xdr:rowOff>38100</xdr:rowOff>
    </xdr:from>
    <xdr:ext cx="6339840" cy="129791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C83D84-DBD6-F942-5669-7B5A6BEC9EDB}"/>
            </a:ext>
          </a:extLst>
        </xdr:cNvPr>
        <xdr:cNvSpPr txBox="1"/>
      </xdr:nvSpPr>
      <xdr:spPr>
        <a:xfrm>
          <a:off x="10858501" y="10279380"/>
          <a:ext cx="6339840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/>
            <a:t>По отделу количество звонков превысило план на 10%, а количество закрытых клиентов — на 8%.</a:t>
          </a:r>
        </a:p>
        <a:p>
          <a:r>
            <a:rPr lang="ru-RU"/>
            <a:t>Продажи составили 4 040 000 при плане 3 750 000, то есть план был превышен на 290 000, или 7,73%.</a:t>
          </a:r>
          <a:r>
            <a:rPr lang="ru-RU" baseline="0"/>
            <a:t> </a:t>
          </a:r>
          <a:r>
            <a:rPr lang="ru-RU"/>
            <a:t>Средний чек при этом снизился всего на 0,25%.</a:t>
          </a:r>
        </a:p>
        <a:p>
          <a:endParaRPr lang="ru-RU"/>
        </a:p>
        <a:p>
          <a:r>
            <a:rPr lang="ru-RU"/>
            <a:t>Факторный анализ показывает, что рост числа закрытых клиентов увеличил продажи на 300 000, а снижение среднего чека уменьшило их на 10 000.</a:t>
          </a:r>
          <a:r>
            <a:rPr lang="ru-RU" baseline="0"/>
            <a:t> </a:t>
          </a:r>
          <a:r>
            <a:rPr lang="ru-RU"/>
            <a:t>Основным фактором превышения плана по продажам стало увеличение количества закрытых клиентов.</a:t>
          </a: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A5C1-4D05-40B3-842F-9122FD5D5CCF}">
  <dimension ref="B2:D15"/>
  <sheetViews>
    <sheetView showGridLines="0" zoomScale="120" zoomScaleNormal="120" workbookViewId="0">
      <selection activeCell="D9" sqref="D9"/>
    </sheetView>
  </sheetViews>
  <sheetFormatPr defaultRowHeight="14.4" x14ac:dyDescent="0.3"/>
  <cols>
    <col min="1" max="1" width="1.88671875" customWidth="1"/>
    <col min="2" max="2" width="16.5546875" customWidth="1"/>
    <col min="3" max="3" width="10.109375" customWidth="1"/>
  </cols>
  <sheetData>
    <row r="2" spans="2:4" x14ac:dyDescent="0.3">
      <c r="B2" t="s">
        <v>68</v>
      </c>
    </row>
    <row r="4" spans="2:4" x14ac:dyDescent="0.3">
      <c r="B4" s="9" t="s">
        <v>21</v>
      </c>
      <c r="C4" t="s">
        <v>58</v>
      </c>
      <c r="D4" s="13">
        <v>0.1</v>
      </c>
    </row>
    <row r="5" spans="2:4" x14ac:dyDescent="0.3">
      <c r="B5" s="9" t="s">
        <v>22</v>
      </c>
      <c r="C5" t="s">
        <v>58</v>
      </c>
      <c r="D5" s="13">
        <v>0.2</v>
      </c>
    </row>
    <row r="6" spans="2:4" x14ac:dyDescent="0.3">
      <c r="B6" s="9" t="s">
        <v>23</v>
      </c>
      <c r="C6" t="s">
        <v>58</v>
      </c>
      <c r="D6" s="13">
        <v>0.3</v>
      </c>
    </row>
    <row r="7" spans="2:4" x14ac:dyDescent="0.3">
      <c r="B7" s="9" t="s">
        <v>57</v>
      </c>
      <c r="C7" t="s">
        <v>58</v>
      </c>
      <c r="D7" s="13">
        <v>0.4</v>
      </c>
    </row>
    <row r="9" spans="2:4" x14ac:dyDescent="0.3">
      <c r="B9" s="1" t="s">
        <v>66</v>
      </c>
      <c r="C9" s="18">
        <f>SUMPRODUCT(C10:C13,D4:D7)</f>
        <v>0</v>
      </c>
    </row>
    <row r="10" spans="2:4" x14ac:dyDescent="0.3">
      <c r="B10" t="s">
        <v>62</v>
      </c>
      <c r="C10" s="18"/>
    </row>
    <row r="11" spans="2:4" x14ac:dyDescent="0.3">
      <c r="B11" t="s">
        <v>63</v>
      </c>
      <c r="C11" s="18"/>
    </row>
    <row r="12" spans="2:4" x14ac:dyDescent="0.3">
      <c r="B12" t="s">
        <v>64</v>
      </c>
      <c r="C12" s="18"/>
    </row>
    <row r="13" spans="2:4" x14ac:dyDescent="0.3">
      <c r="B13" t="s">
        <v>65</v>
      </c>
      <c r="C13" s="18"/>
    </row>
    <row r="15" spans="2:4" x14ac:dyDescent="0.3">
      <c r="B15" t="s">
        <v>26</v>
      </c>
    </row>
  </sheetData>
  <hyperlinks>
    <hyperlink ref="B5" location="'2. Поставки данных'!A1" display="Задание 2" xr:uid="{722A59E6-D05E-47DF-B97C-4836DCBCC1CE}"/>
    <hyperlink ref="B6" location="'3. Подписки и акция'!A1" display="Задание 3" xr:uid="{446C1604-C9E4-46C0-A590-562306E5CC30}"/>
    <hyperlink ref="B7" location="'4. Эффективность отдела'!A1" display="Задание 4" xr:uid="{CF4CABB9-D19F-474E-B27E-AEE4FF36376B}"/>
    <hyperlink ref="B4" location="'1. Процентиль'!A1" display="Задание 1" xr:uid="{F28CBC6A-7BA2-47A2-860B-F3D538C559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17A3-5AEF-439F-A94B-980C75BF85F0}">
  <dimension ref="B2:J567"/>
  <sheetViews>
    <sheetView topLeftCell="A2" zoomScale="106" zoomScaleNormal="130" workbookViewId="0">
      <selection activeCell="N21" sqref="N21"/>
    </sheetView>
  </sheetViews>
  <sheetFormatPr defaultRowHeight="14.4" x14ac:dyDescent="0.3"/>
  <cols>
    <col min="1" max="1" width="3.88671875" customWidth="1"/>
    <col min="9" max="9" width="8.88671875" customWidth="1"/>
  </cols>
  <sheetData>
    <row r="2" spans="2:10" x14ac:dyDescent="0.3">
      <c r="B2" s="13" t="s">
        <v>51</v>
      </c>
      <c r="C2" s="13" t="s">
        <v>52</v>
      </c>
      <c r="E2" t="s">
        <v>51</v>
      </c>
      <c r="F2" t="s">
        <v>53</v>
      </c>
    </row>
    <row r="3" spans="2:10" x14ac:dyDescent="0.3">
      <c r="B3" s="13">
        <v>5916</v>
      </c>
      <c r="C3" s="13">
        <v>50</v>
      </c>
      <c r="E3" t="s">
        <v>52</v>
      </c>
      <c r="F3" t="s">
        <v>69</v>
      </c>
    </row>
    <row r="4" spans="2:10" x14ac:dyDescent="0.3">
      <c r="B4" s="13">
        <v>2004</v>
      </c>
      <c r="C4" s="13">
        <v>50</v>
      </c>
    </row>
    <row r="5" spans="2:10" x14ac:dyDescent="0.3">
      <c r="B5" s="13">
        <v>9977</v>
      </c>
      <c r="C5" s="13">
        <v>50</v>
      </c>
      <c r="E5" s="21" t="s">
        <v>54</v>
      </c>
      <c r="F5" s="22">
        <v>69</v>
      </c>
      <c r="G5" s="5">
        <v>0.5</v>
      </c>
      <c r="H5" t="s">
        <v>59</v>
      </c>
      <c r="J5" t="str">
        <f>G5 &amp; " пользователей получили ответ быстрее или ровно за " &amp; F5 &amp;" миллисекунд"</f>
        <v>0,5 пользователей получили ответ быстрее или ровно за 69 миллисекунд</v>
      </c>
    </row>
    <row r="6" spans="2:10" x14ac:dyDescent="0.3">
      <c r="B6" s="13">
        <v>9807</v>
      </c>
      <c r="C6" s="13">
        <v>50</v>
      </c>
      <c r="E6" s="21" t="s">
        <v>55</v>
      </c>
      <c r="F6" s="22">
        <v>130</v>
      </c>
      <c r="G6" s="5">
        <v>0.9</v>
      </c>
      <c r="H6" t="s">
        <v>59</v>
      </c>
      <c r="J6" t="str">
        <f>G6 &amp; " пользователей получили ответ быстрее или ровно за " &amp; F6 &amp;" миллисекунд"</f>
        <v>0,9 пользователей получили ответ быстрее или ровно за 130 миллисекунд</v>
      </c>
    </row>
    <row r="7" spans="2:10" x14ac:dyDescent="0.3">
      <c r="B7" s="13">
        <v>1128</v>
      </c>
      <c r="C7" s="13">
        <v>50</v>
      </c>
      <c r="E7" s="21" t="s">
        <v>56</v>
      </c>
      <c r="F7" s="22">
        <v>148</v>
      </c>
      <c r="G7" s="5">
        <v>0.99</v>
      </c>
      <c r="H7" t="s">
        <v>59</v>
      </c>
      <c r="J7" t="str">
        <f>G7 &amp; " пользователей получили ответ быстрее или ровно за " &amp; F7 &amp;" миллисекунд"</f>
        <v>0,99 пользователей получили ответ быстрее или ровно за 148 миллисекунд</v>
      </c>
    </row>
    <row r="8" spans="2:10" x14ac:dyDescent="0.3">
      <c r="B8" s="13">
        <v>9255</v>
      </c>
      <c r="C8" s="13">
        <v>50</v>
      </c>
    </row>
    <row r="9" spans="2:10" x14ac:dyDescent="0.3">
      <c r="B9" s="13">
        <v>522</v>
      </c>
      <c r="C9" s="13">
        <v>50</v>
      </c>
      <c r="E9" s="6" t="s">
        <v>30</v>
      </c>
    </row>
    <row r="10" spans="2:10" x14ac:dyDescent="0.3">
      <c r="B10" s="13">
        <v>1699</v>
      </c>
      <c r="C10" s="13">
        <v>50</v>
      </c>
      <c r="E10" s="6" t="s">
        <v>60</v>
      </c>
    </row>
    <row r="11" spans="2:10" x14ac:dyDescent="0.3">
      <c r="B11" s="13">
        <v>5256</v>
      </c>
      <c r="C11" s="13">
        <v>50</v>
      </c>
      <c r="E11" s="16" t="s">
        <v>61</v>
      </c>
    </row>
    <row r="12" spans="2:10" x14ac:dyDescent="0.3">
      <c r="B12" s="13">
        <v>5566</v>
      </c>
      <c r="C12" s="13">
        <v>50</v>
      </c>
    </row>
    <row r="13" spans="2:10" x14ac:dyDescent="0.3">
      <c r="B13" s="13">
        <v>9144</v>
      </c>
      <c r="C13" s="13">
        <v>50</v>
      </c>
      <c r="E13" s="19" t="s">
        <v>75</v>
      </c>
    </row>
    <row r="14" spans="2:10" x14ac:dyDescent="0.3">
      <c r="B14" s="13">
        <v>8614</v>
      </c>
      <c r="C14" s="13">
        <v>50</v>
      </c>
      <c r="F14" t="s">
        <v>71</v>
      </c>
      <c r="G14" t="s">
        <v>72</v>
      </c>
      <c r="H14" t="s">
        <v>73</v>
      </c>
      <c r="I14" s="20" t="s">
        <v>74</v>
      </c>
    </row>
    <row r="15" spans="2:10" x14ac:dyDescent="0.3">
      <c r="B15" s="13">
        <v>1980</v>
      </c>
      <c r="C15" s="13">
        <v>50</v>
      </c>
      <c r="E15" t="s">
        <v>54</v>
      </c>
      <c r="F15">
        <f>(COUNT(C3:C567)-1)*0.5</f>
        <v>282</v>
      </c>
      <c r="G15" cm="1">
        <f t="array" ref="G15">INDEX(C3:C567, INT(F15) + 1)</f>
        <v>69</v>
      </c>
      <c r="H15" cm="1">
        <f t="array" ref="H15">INDEX(C3:C567, INT(F15) + 2)</f>
        <v>69</v>
      </c>
      <c r="I15" s="23">
        <f>G15 + MOD(F15, 1) * (H15 - G15)</f>
        <v>69</v>
      </c>
    </row>
    <row r="16" spans="2:10" x14ac:dyDescent="0.3">
      <c r="B16" s="13">
        <v>8639</v>
      </c>
      <c r="C16" s="13">
        <v>50</v>
      </c>
      <c r="E16" t="s">
        <v>55</v>
      </c>
      <c r="F16">
        <f>(COUNT(C3:C567)-1)*0.9</f>
        <v>507.6</v>
      </c>
      <c r="G16" cm="1">
        <f t="array" ref="G16">INDEX(C3:C567, INT(F16) + 1)</f>
        <v>130</v>
      </c>
      <c r="H16" cm="1">
        <f t="array" ref="H16">INDEX(C3:C567, INT(F16) + 2)</f>
        <v>130</v>
      </c>
      <c r="I16" s="23">
        <f>G16 + MOD(F16, 1) * (H16 - G16)</f>
        <v>130</v>
      </c>
    </row>
    <row r="17" spans="2:9" x14ac:dyDescent="0.3">
      <c r="B17" s="13">
        <v>7755</v>
      </c>
      <c r="C17" s="13">
        <v>50</v>
      </c>
      <c r="E17" t="s">
        <v>56</v>
      </c>
      <c r="F17">
        <f>(COUNT(C3:C567)-1)*0.99</f>
        <v>558.36</v>
      </c>
      <c r="G17" cm="1">
        <f t="array" ref="G17">INDEX(C3:C567, INT(F17) + 1)</f>
        <v>148</v>
      </c>
      <c r="H17" cm="1">
        <f t="array" ref="H17">INDEX(C3:C567, INT(F17) + 2)</f>
        <v>148</v>
      </c>
      <c r="I17" s="23">
        <f>G17 + MOD(F17, 1) * (H17 - G17)</f>
        <v>148</v>
      </c>
    </row>
    <row r="18" spans="2:9" x14ac:dyDescent="0.3">
      <c r="B18" s="13">
        <v>1410</v>
      </c>
      <c r="C18" s="13">
        <v>51</v>
      </c>
    </row>
    <row r="19" spans="2:9" x14ac:dyDescent="0.3">
      <c r="B19" s="13">
        <v>1655</v>
      </c>
      <c r="C19" s="13">
        <v>51</v>
      </c>
    </row>
    <row r="20" spans="2:9" x14ac:dyDescent="0.3">
      <c r="B20" s="13">
        <v>9961</v>
      </c>
      <c r="C20" s="13">
        <v>51</v>
      </c>
    </row>
    <row r="21" spans="2:9" x14ac:dyDescent="0.3">
      <c r="B21" s="13">
        <v>5596</v>
      </c>
      <c r="C21" s="13">
        <v>51</v>
      </c>
    </row>
    <row r="22" spans="2:9" x14ac:dyDescent="0.3">
      <c r="B22" s="13">
        <v>5319</v>
      </c>
      <c r="C22" s="13">
        <v>51</v>
      </c>
    </row>
    <row r="23" spans="2:9" x14ac:dyDescent="0.3">
      <c r="B23" s="13">
        <v>7254</v>
      </c>
      <c r="C23" s="13">
        <v>51</v>
      </c>
    </row>
    <row r="24" spans="2:9" x14ac:dyDescent="0.3">
      <c r="B24" s="13">
        <v>719</v>
      </c>
      <c r="C24" s="13">
        <v>51</v>
      </c>
    </row>
    <row r="25" spans="2:9" x14ac:dyDescent="0.3">
      <c r="B25" s="13">
        <v>1103</v>
      </c>
      <c r="C25" s="13">
        <v>51</v>
      </c>
    </row>
    <row r="26" spans="2:9" x14ac:dyDescent="0.3">
      <c r="B26" s="13">
        <v>7875</v>
      </c>
      <c r="C26" s="13">
        <v>51</v>
      </c>
    </row>
    <row r="27" spans="2:9" x14ac:dyDescent="0.3">
      <c r="B27" s="13">
        <v>532</v>
      </c>
      <c r="C27" s="13">
        <v>51</v>
      </c>
    </row>
    <row r="28" spans="2:9" x14ac:dyDescent="0.3">
      <c r="B28" s="13">
        <v>6913</v>
      </c>
      <c r="C28" s="13">
        <v>51</v>
      </c>
    </row>
    <row r="29" spans="2:9" x14ac:dyDescent="0.3">
      <c r="B29" s="13">
        <v>4201</v>
      </c>
      <c r="C29" s="13">
        <v>51</v>
      </c>
    </row>
    <row r="30" spans="2:9" x14ac:dyDescent="0.3">
      <c r="B30" s="13">
        <v>1927</v>
      </c>
      <c r="C30" s="13">
        <v>51</v>
      </c>
    </row>
    <row r="31" spans="2:9" x14ac:dyDescent="0.3">
      <c r="B31" s="13">
        <v>286</v>
      </c>
      <c r="C31" s="13">
        <v>51</v>
      </c>
    </row>
    <row r="32" spans="2:9" x14ac:dyDescent="0.3">
      <c r="B32" s="13">
        <v>9822</v>
      </c>
      <c r="C32" s="13">
        <v>51</v>
      </c>
    </row>
    <row r="33" spans="2:3" x14ac:dyDescent="0.3">
      <c r="B33" s="13">
        <v>3637</v>
      </c>
      <c r="C33" s="13">
        <v>52</v>
      </c>
    </row>
    <row r="34" spans="2:3" x14ac:dyDescent="0.3">
      <c r="B34" s="13">
        <v>5570</v>
      </c>
      <c r="C34" s="13">
        <v>52</v>
      </c>
    </row>
    <row r="35" spans="2:3" x14ac:dyDescent="0.3">
      <c r="B35" s="13">
        <v>1404</v>
      </c>
      <c r="C35" s="13">
        <v>52</v>
      </c>
    </row>
    <row r="36" spans="2:3" x14ac:dyDescent="0.3">
      <c r="B36" s="13">
        <v>9634</v>
      </c>
      <c r="C36" s="13">
        <v>52</v>
      </c>
    </row>
    <row r="37" spans="2:3" x14ac:dyDescent="0.3">
      <c r="B37" s="13">
        <v>7888</v>
      </c>
      <c r="C37" s="13">
        <v>52</v>
      </c>
    </row>
    <row r="38" spans="2:3" x14ac:dyDescent="0.3">
      <c r="B38" s="13">
        <v>454</v>
      </c>
      <c r="C38" s="13">
        <v>52</v>
      </c>
    </row>
    <row r="39" spans="2:3" x14ac:dyDescent="0.3">
      <c r="B39" s="13">
        <v>9243</v>
      </c>
      <c r="C39" s="13">
        <v>52</v>
      </c>
    </row>
    <row r="40" spans="2:3" x14ac:dyDescent="0.3">
      <c r="B40" s="13">
        <v>2399</v>
      </c>
      <c r="C40" s="13">
        <v>52</v>
      </c>
    </row>
    <row r="41" spans="2:3" x14ac:dyDescent="0.3">
      <c r="B41" s="13">
        <v>2418</v>
      </c>
      <c r="C41" s="13">
        <v>52</v>
      </c>
    </row>
    <row r="42" spans="2:3" x14ac:dyDescent="0.3">
      <c r="B42" s="13">
        <v>7678</v>
      </c>
      <c r="C42" s="13">
        <v>52</v>
      </c>
    </row>
    <row r="43" spans="2:3" x14ac:dyDescent="0.3">
      <c r="B43" s="13">
        <v>6190</v>
      </c>
      <c r="C43" s="13">
        <v>52</v>
      </c>
    </row>
    <row r="44" spans="2:3" x14ac:dyDescent="0.3">
      <c r="B44" s="13">
        <v>5818</v>
      </c>
      <c r="C44" s="13">
        <v>52</v>
      </c>
    </row>
    <row r="45" spans="2:3" x14ac:dyDescent="0.3">
      <c r="B45" s="13">
        <v>365</v>
      </c>
      <c r="C45" s="13">
        <v>52</v>
      </c>
    </row>
    <row r="46" spans="2:3" x14ac:dyDescent="0.3">
      <c r="B46" s="13">
        <v>5665</v>
      </c>
      <c r="C46" s="13">
        <v>53</v>
      </c>
    </row>
    <row r="47" spans="2:3" x14ac:dyDescent="0.3">
      <c r="B47" s="13">
        <v>2858</v>
      </c>
      <c r="C47" s="13">
        <v>53</v>
      </c>
    </row>
    <row r="48" spans="2:3" x14ac:dyDescent="0.3">
      <c r="B48" s="13">
        <v>296</v>
      </c>
      <c r="C48" s="13">
        <v>53</v>
      </c>
    </row>
    <row r="49" spans="2:3" x14ac:dyDescent="0.3">
      <c r="B49" s="13">
        <v>4246</v>
      </c>
      <c r="C49" s="13">
        <v>53</v>
      </c>
    </row>
    <row r="50" spans="2:3" x14ac:dyDescent="0.3">
      <c r="B50" s="13">
        <v>859</v>
      </c>
      <c r="C50" s="13">
        <v>53</v>
      </c>
    </row>
    <row r="51" spans="2:3" x14ac:dyDescent="0.3">
      <c r="B51" s="13">
        <v>9758</v>
      </c>
      <c r="C51" s="13">
        <v>53</v>
      </c>
    </row>
    <row r="52" spans="2:3" x14ac:dyDescent="0.3">
      <c r="B52" s="13">
        <v>3650</v>
      </c>
      <c r="C52" s="13">
        <v>53</v>
      </c>
    </row>
    <row r="53" spans="2:3" x14ac:dyDescent="0.3">
      <c r="B53" s="13">
        <v>2998</v>
      </c>
      <c r="C53" s="13">
        <v>53</v>
      </c>
    </row>
    <row r="54" spans="2:3" x14ac:dyDescent="0.3">
      <c r="B54" s="13">
        <v>6120</v>
      </c>
      <c r="C54" s="13">
        <v>53</v>
      </c>
    </row>
    <row r="55" spans="2:3" x14ac:dyDescent="0.3">
      <c r="B55" s="13">
        <v>9632</v>
      </c>
      <c r="C55" s="13">
        <v>53</v>
      </c>
    </row>
    <row r="56" spans="2:3" x14ac:dyDescent="0.3">
      <c r="B56" s="13">
        <v>4404</v>
      </c>
      <c r="C56" s="13">
        <v>53</v>
      </c>
    </row>
    <row r="57" spans="2:3" x14ac:dyDescent="0.3">
      <c r="B57" s="13">
        <v>5543</v>
      </c>
      <c r="C57" s="13">
        <v>53</v>
      </c>
    </row>
    <row r="58" spans="2:3" x14ac:dyDescent="0.3">
      <c r="B58" s="13">
        <v>916</v>
      </c>
      <c r="C58" s="13">
        <v>53</v>
      </c>
    </row>
    <row r="59" spans="2:3" x14ac:dyDescent="0.3">
      <c r="B59" s="13">
        <v>182</v>
      </c>
      <c r="C59" s="13">
        <v>53</v>
      </c>
    </row>
    <row r="60" spans="2:3" x14ac:dyDescent="0.3">
      <c r="B60" s="13">
        <v>94</v>
      </c>
      <c r="C60" s="13">
        <v>53</v>
      </c>
    </row>
    <row r="61" spans="2:3" x14ac:dyDescent="0.3">
      <c r="B61" s="13">
        <v>1642</v>
      </c>
      <c r="C61" s="13">
        <v>54</v>
      </c>
    </row>
    <row r="62" spans="2:3" x14ac:dyDescent="0.3">
      <c r="B62" s="13">
        <v>6775</v>
      </c>
      <c r="C62" s="13">
        <v>54</v>
      </c>
    </row>
    <row r="63" spans="2:3" x14ac:dyDescent="0.3">
      <c r="B63" s="13">
        <v>8772</v>
      </c>
      <c r="C63" s="13">
        <v>54</v>
      </c>
    </row>
    <row r="64" spans="2:3" x14ac:dyDescent="0.3">
      <c r="B64" s="13">
        <v>5033</v>
      </c>
      <c r="C64" s="13">
        <v>54</v>
      </c>
    </row>
    <row r="65" spans="2:3" x14ac:dyDescent="0.3">
      <c r="B65" s="13">
        <v>378</v>
      </c>
      <c r="C65" s="13">
        <v>54</v>
      </c>
    </row>
    <row r="66" spans="2:3" x14ac:dyDescent="0.3">
      <c r="B66" s="13">
        <v>3319</v>
      </c>
      <c r="C66" s="13">
        <v>54</v>
      </c>
    </row>
    <row r="67" spans="2:3" x14ac:dyDescent="0.3">
      <c r="B67" s="13">
        <v>6327</v>
      </c>
      <c r="C67" s="13">
        <v>54</v>
      </c>
    </row>
    <row r="68" spans="2:3" x14ac:dyDescent="0.3">
      <c r="B68" s="13">
        <v>3982</v>
      </c>
      <c r="C68" s="13">
        <v>54</v>
      </c>
    </row>
    <row r="69" spans="2:3" x14ac:dyDescent="0.3">
      <c r="B69" s="13">
        <v>7353</v>
      </c>
      <c r="C69" s="13">
        <v>54</v>
      </c>
    </row>
    <row r="70" spans="2:3" x14ac:dyDescent="0.3">
      <c r="B70" s="13">
        <v>1906</v>
      </c>
      <c r="C70" s="13">
        <v>54</v>
      </c>
    </row>
    <row r="71" spans="2:3" x14ac:dyDescent="0.3">
      <c r="B71" s="13">
        <v>9521</v>
      </c>
      <c r="C71" s="13">
        <v>54</v>
      </c>
    </row>
    <row r="72" spans="2:3" x14ac:dyDescent="0.3">
      <c r="B72" s="13">
        <v>1952</v>
      </c>
      <c r="C72" s="13">
        <v>54</v>
      </c>
    </row>
    <row r="73" spans="2:3" x14ac:dyDescent="0.3">
      <c r="B73" s="13">
        <v>2648</v>
      </c>
      <c r="C73" s="13">
        <v>54</v>
      </c>
    </row>
    <row r="74" spans="2:3" x14ac:dyDescent="0.3">
      <c r="B74" s="13">
        <v>941</v>
      </c>
      <c r="C74" s="13">
        <v>54</v>
      </c>
    </row>
    <row r="75" spans="2:3" x14ac:dyDescent="0.3">
      <c r="B75" s="13">
        <v>386</v>
      </c>
      <c r="C75" s="13">
        <v>55</v>
      </c>
    </row>
    <row r="76" spans="2:3" x14ac:dyDescent="0.3">
      <c r="B76" s="13">
        <v>459</v>
      </c>
      <c r="C76" s="13">
        <v>55</v>
      </c>
    </row>
    <row r="77" spans="2:3" x14ac:dyDescent="0.3">
      <c r="B77" s="13">
        <v>1636</v>
      </c>
      <c r="C77" s="13">
        <v>55</v>
      </c>
    </row>
    <row r="78" spans="2:3" x14ac:dyDescent="0.3">
      <c r="B78" s="13">
        <v>5759</v>
      </c>
      <c r="C78" s="13">
        <v>55</v>
      </c>
    </row>
    <row r="79" spans="2:3" x14ac:dyDescent="0.3">
      <c r="B79" s="13">
        <v>3323</v>
      </c>
      <c r="C79" s="13">
        <v>55</v>
      </c>
    </row>
    <row r="80" spans="2:3" x14ac:dyDescent="0.3">
      <c r="B80" s="13">
        <v>1564</v>
      </c>
      <c r="C80" s="13">
        <v>55</v>
      </c>
    </row>
    <row r="81" spans="2:3" x14ac:dyDescent="0.3">
      <c r="B81" s="13">
        <v>9816</v>
      </c>
      <c r="C81" s="13">
        <v>55</v>
      </c>
    </row>
    <row r="82" spans="2:3" x14ac:dyDescent="0.3">
      <c r="B82" s="13">
        <v>2185</v>
      </c>
      <c r="C82" s="13">
        <v>55</v>
      </c>
    </row>
    <row r="83" spans="2:3" x14ac:dyDescent="0.3">
      <c r="B83" s="13">
        <v>9507</v>
      </c>
      <c r="C83" s="13">
        <v>55</v>
      </c>
    </row>
    <row r="84" spans="2:3" x14ac:dyDescent="0.3">
      <c r="B84" s="13">
        <v>6669</v>
      </c>
      <c r="C84" s="13">
        <v>55</v>
      </c>
    </row>
    <row r="85" spans="2:3" x14ac:dyDescent="0.3">
      <c r="B85" s="13">
        <v>4473</v>
      </c>
      <c r="C85" s="13">
        <v>55</v>
      </c>
    </row>
    <row r="86" spans="2:3" x14ac:dyDescent="0.3">
      <c r="B86" s="13">
        <v>4301</v>
      </c>
      <c r="C86" s="13">
        <v>55</v>
      </c>
    </row>
    <row r="87" spans="2:3" x14ac:dyDescent="0.3">
      <c r="B87" s="13">
        <v>6887</v>
      </c>
      <c r="C87" s="13">
        <v>55</v>
      </c>
    </row>
    <row r="88" spans="2:3" x14ac:dyDescent="0.3">
      <c r="B88" s="13">
        <v>2145</v>
      </c>
      <c r="C88" s="13">
        <v>55</v>
      </c>
    </row>
    <row r="89" spans="2:3" x14ac:dyDescent="0.3">
      <c r="B89" s="13">
        <v>8568</v>
      </c>
      <c r="C89" s="13">
        <v>55</v>
      </c>
    </row>
    <row r="90" spans="2:3" x14ac:dyDescent="0.3">
      <c r="B90" s="13">
        <v>9226</v>
      </c>
      <c r="C90" s="13">
        <v>55</v>
      </c>
    </row>
    <row r="91" spans="2:3" x14ac:dyDescent="0.3">
      <c r="B91" s="13">
        <v>8995</v>
      </c>
      <c r="C91" s="13">
        <v>55</v>
      </c>
    </row>
    <row r="92" spans="2:3" x14ac:dyDescent="0.3">
      <c r="B92" s="13">
        <v>5196</v>
      </c>
      <c r="C92" s="13">
        <v>55</v>
      </c>
    </row>
    <row r="93" spans="2:3" x14ac:dyDescent="0.3">
      <c r="B93" s="13">
        <v>4367</v>
      </c>
      <c r="C93" s="13">
        <v>55</v>
      </c>
    </row>
    <row r="94" spans="2:3" x14ac:dyDescent="0.3">
      <c r="B94" s="13">
        <v>6539</v>
      </c>
      <c r="C94" s="13">
        <v>56</v>
      </c>
    </row>
    <row r="95" spans="2:3" x14ac:dyDescent="0.3">
      <c r="B95" s="13">
        <v>568</v>
      </c>
      <c r="C95" s="13">
        <v>56</v>
      </c>
    </row>
    <row r="96" spans="2:3" x14ac:dyDescent="0.3">
      <c r="B96" s="13">
        <v>7775</v>
      </c>
      <c r="C96" s="13">
        <v>56</v>
      </c>
    </row>
    <row r="97" spans="2:3" x14ac:dyDescent="0.3">
      <c r="B97" s="13">
        <v>3874</v>
      </c>
      <c r="C97" s="13">
        <v>56</v>
      </c>
    </row>
    <row r="98" spans="2:3" x14ac:dyDescent="0.3">
      <c r="B98" s="13">
        <v>5220</v>
      </c>
      <c r="C98" s="13">
        <v>56</v>
      </c>
    </row>
    <row r="99" spans="2:3" x14ac:dyDescent="0.3">
      <c r="B99" s="13">
        <v>9243</v>
      </c>
      <c r="C99" s="13">
        <v>56</v>
      </c>
    </row>
    <row r="100" spans="2:3" x14ac:dyDescent="0.3">
      <c r="B100" s="13">
        <v>7700</v>
      </c>
      <c r="C100" s="13">
        <v>56</v>
      </c>
    </row>
    <row r="101" spans="2:3" x14ac:dyDescent="0.3">
      <c r="B101" s="13">
        <v>2639</v>
      </c>
      <c r="C101" s="13">
        <v>56</v>
      </c>
    </row>
    <row r="102" spans="2:3" x14ac:dyDescent="0.3">
      <c r="B102" s="13">
        <v>3099</v>
      </c>
      <c r="C102" s="13">
        <v>56</v>
      </c>
    </row>
    <row r="103" spans="2:3" x14ac:dyDescent="0.3">
      <c r="B103" s="13">
        <v>9491</v>
      </c>
      <c r="C103" s="13">
        <v>56</v>
      </c>
    </row>
    <row r="104" spans="2:3" x14ac:dyDescent="0.3">
      <c r="B104" s="13">
        <v>3823</v>
      </c>
      <c r="C104" s="13">
        <v>56</v>
      </c>
    </row>
    <row r="105" spans="2:3" x14ac:dyDescent="0.3">
      <c r="B105" s="13">
        <v>4293</v>
      </c>
      <c r="C105" s="13">
        <v>56</v>
      </c>
    </row>
    <row r="106" spans="2:3" x14ac:dyDescent="0.3">
      <c r="B106" s="13">
        <v>6764</v>
      </c>
      <c r="C106" s="13">
        <v>56</v>
      </c>
    </row>
    <row r="107" spans="2:3" x14ac:dyDescent="0.3">
      <c r="B107" s="13">
        <v>8765</v>
      </c>
      <c r="C107" s="13">
        <v>56</v>
      </c>
    </row>
    <row r="108" spans="2:3" x14ac:dyDescent="0.3">
      <c r="B108" s="13">
        <v>3265</v>
      </c>
      <c r="C108" s="13">
        <v>57</v>
      </c>
    </row>
    <row r="109" spans="2:3" x14ac:dyDescent="0.3">
      <c r="B109" s="13">
        <v>3561</v>
      </c>
      <c r="C109" s="13">
        <v>57</v>
      </c>
    </row>
    <row r="110" spans="2:3" x14ac:dyDescent="0.3">
      <c r="B110" s="13">
        <v>157</v>
      </c>
      <c r="C110" s="13">
        <v>57</v>
      </c>
    </row>
    <row r="111" spans="2:3" x14ac:dyDescent="0.3">
      <c r="B111" s="13">
        <v>5851</v>
      </c>
      <c r="C111" s="13">
        <v>57</v>
      </c>
    </row>
    <row r="112" spans="2:3" x14ac:dyDescent="0.3">
      <c r="B112" s="13">
        <v>5450</v>
      </c>
      <c r="C112" s="13">
        <v>57</v>
      </c>
    </row>
    <row r="113" spans="2:3" x14ac:dyDescent="0.3">
      <c r="B113" s="13">
        <v>1234</v>
      </c>
      <c r="C113" s="13">
        <v>57</v>
      </c>
    </row>
    <row r="114" spans="2:3" x14ac:dyDescent="0.3">
      <c r="B114" s="13">
        <v>6440</v>
      </c>
      <c r="C114" s="13">
        <v>57</v>
      </c>
    </row>
    <row r="115" spans="2:3" x14ac:dyDescent="0.3">
      <c r="B115" s="13">
        <v>483</v>
      </c>
      <c r="C115" s="13">
        <v>57</v>
      </c>
    </row>
    <row r="116" spans="2:3" x14ac:dyDescent="0.3">
      <c r="B116" s="13">
        <v>3166</v>
      </c>
      <c r="C116" s="13">
        <v>57</v>
      </c>
    </row>
    <row r="117" spans="2:3" x14ac:dyDescent="0.3">
      <c r="B117" s="13">
        <v>6092</v>
      </c>
      <c r="C117" s="13">
        <v>57</v>
      </c>
    </row>
    <row r="118" spans="2:3" x14ac:dyDescent="0.3">
      <c r="B118" s="13">
        <v>7499</v>
      </c>
      <c r="C118" s="13">
        <v>57</v>
      </c>
    </row>
    <row r="119" spans="2:3" x14ac:dyDescent="0.3">
      <c r="B119" s="13">
        <v>3510</v>
      </c>
      <c r="C119" s="13">
        <v>58</v>
      </c>
    </row>
    <row r="120" spans="2:3" x14ac:dyDescent="0.3">
      <c r="B120" s="13">
        <v>699</v>
      </c>
      <c r="C120" s="13">
        <v>58</v>
      </c>
    </row>
    <row r="121" spans="2:3" x14ac:dyDescent="0.3">
      <c r="B121" s="13">
        <v>7402</v>
      </c>
      <c r="C121" s="13">
        <v>58</v>
      </c>
    </row>
    <row r="122" spans="2:3" x14ac:dyDescent="0.3">
      <c r="B122" s="13">
        <v>8597</v>
      </c>
      <c r="C122" s="13">
        <v>58</v>
      </c>
    </row>
    <row r="123" spans="2:3" x14ac:dyDescent="0.3">
      <c r="B123" s="13">
        <v>9647</v>
      </c>
      <c r="C123" s="13">
        <v>58</v>
      </c>
    </row>
    <row r="124" spans="2:3" x14ac:dyDescent="0.3">
      <c r="B124" s="13">
        <v>9509</v>
      </c>
      <c r="C124" s="13">
        <v>58</v>
      </c>
    </row>
    <row r="125" spans="2:3" x14ac:dyDescent="0.3">
      <c r="B125" s="13">
        <v>7787</v>
      </c>
      <c r="C125" s="13">
        <v>58</v>
      </c>
    </row>
    <row r="126" spans="2:3" x14ac:dyDescent="0.3">
      <c r="B126" s="13">
        <v>6412</v>
      </c>
      <c r="C126" s="13">
        <v>58</v>
      </c>
    </row>
    <row r="127" spans="2:3" x14ac:dyDescent="0.3">
      <c r="B127" s="13">
        <v>6351</v>
      </c>
      <c r="C127" s="13">
        <v>58</v>
      </c>
    </row>
    <row r="128" spans="2:3" x14ac:dyDescent="0.3">
      <c r="B128" s="13">
        <v>2437</v>
      </c>
      <c r="C128" s="13">
        <v>58</v>
      </c>
    </row>
    <row r="129" spans="2:3" x14ac:dyDescent="0.3">
      <c r="B129" s="13">
        <v>9694</v>
      </c>
      <c r="C129" s="13">
        <v>58</v>
      </c>
    </row>
    <row r="130" spans="2:3" x14ac:dyDescent="0.3">
      <c r="B130" s="13">
        <v>2541</v>
      </c>
      <c r="C130" s="13">
        <v>58</v>
      </c>
    </row>
    <row r="131" spans="2:3" x14ac:dyDescent="0.3">
      <c r="B131" s="13">
        <v>7864</v>
      </c>
      <c r="C131" s="13">
        <v>58</v>
      </c>
    </row>
    <row r="132" spans="2:3" x14ac:dyDescent="0.3">
      <c r="B132" s="13">
        <v>7976</v>
      </c>
      <c r="C132" s="13">
        <v>58</v>
      </c>
    </row>
    <row r="133" spans="2:3" x14ac:dyDescent="0.3">
      <c r="B133" s="13">
        <v>3778</v>
      </c>
      <c r="C133" s="13">
        <v>58</v>
      </c>
    </row>
    <row r="134" spans="2:3" x14ac:dyDescent="0.3">
      <c r="B134" s="13">
        <v>5485</v>
      </c>
      <c r="C134" s="13">
        <v>59</v>
      </c>
    </row>
    <row r="135" spans="2:3" x14ac:dyDescent="0.3">
      <c r="B135" s="13">
        <v>9551</v>
      </c>
      <c r="C135" s="13">
        <v>59</v>
      </c>
    </row>
    <row r="136" spans="2:3" x14ac:dyDescent="0.3">
      <c r="B136" s="13">
        <v>3540</v>
      </c>
      <c r="C136" s="13">
        <v>59</v>
      </c>
    </row>
    <row r="137" spans="2:3" x14ac:dyDescent="0.3">
      <c r="B137" s="13">
        <v>4769</v>
      </c>
      <c r="C137" s="13">
        <v>59</v>
      </c>
    </row>
    <row r="138" spans="2:3" x14ac:dyDescent="0.3">
      <c r="B138" s="13">
        <v>5767</v>
      </c>
      <c r="C138" s="13">
        <v>59</v>
      </c>
    </row>
    <row r="139" spans="2:3" x14ac:dyDescent="0.3">
      <c r="B139" s="13">
        <v>7793</v>
      </c>
      <c r="C139" s="13">
        <v>59</v>
      </c>
    </row>
    <row r="140" spans="2:3" x14ac:dyDescent="0.3">
      <c r="B140" s="13">
        <v>8340</v>
      </c>
      <c r="C140" s="13">
        <v>59</v>
      </c>
    </row>
    <row r="141" spans="2:3" x14ac:dyDescent="0.3">
      <c r="B141" s="13">
        <v>3628</v>
      </c>
      <c r="C141" s="13">
        <v>59</v>
      </c>
    </row>
    <row r="142" spans="2:3" x14ac:dyDescent="0.3">
      <c r="B142" s="13">
        <v>1242</v>
      </c>
      <c r="C142" s="13">
        <v>59</v>
      </c>
    </row>
    <row r="143" spans="2:3" x14ac:dyDescent="0.3">
      <c r="B143" s="13">
        <v>5463</v>
      </c>
      <c r="C143" s="13">
        <v>60</v>
      </c>
    </row>
    <row r="144" spans="2:3" x14ac:dyDescent="0.3">
      <c r="B144" s="13">
        <v>354</v>
      </c>
      <c r="C144" s="13">
        <v>60</v>
      </c>
    </row>
    <row r="145" spans="2:3" x14ac:dyDescent="0.3">
      <c r="B145" s="13">
        <v>1324</v>
      </c>
      <c r="C145" s="13">
        <v>60</v>
      </c>
    </row>
    <row r="146" spans="2:3" x14ac:dyDescent="0.3">
      <c r="B146" s="13">
        <v>4575</v>
      </c>
      <c r="C146" s="13">
        <v>60</v>
      </c>
    </row>
    <row r="147" spans="2:3" x14ac:dyDescent="0.3">
      <c r="B147" s="13">
        <v>6605</v>
      </c>
      <c r="C147" s="13">
        <v>60</v>
      </c>
    </row>
    <row r="148" spans="2:3" x14ac:dyDescent="0.3">
      <c r="B148" s="13">
        <v>780</v>
      </c>
      <c r="C148" s="13">
        <v>60</v>
      </c>
    </row>
    <row r="149" spans="2:3" x14ac:dyDescent="0.3">
      <c r="B149" s="13">
        <v>7039</v>
      </c>
      <c r="C149" s="13">
        <v>60</v>
      </c>
    </row>
    <row r="150" spans="2:3" x14ac:dyDescent="0.3">
      <c r="B150" s="13">
        <v>9618</v>
      </c>
      <c r="C150" s="13">
        <v>60</v>
      </c>
    </row>
    <row r="151" spans="2:3" x14ac:dyDescent="0.3">
      <c r="B151" s="13">
        <v>8349</v>
      </c>
      <c r="C151" s="13">
        <v>60</v>
      </c>
    </row>
    <row r="152" spans="2:3" x14ac:dyDescent="0.3">
      <c r="B152" s="13">
        <v>7500</v>
      </c>
      <c r="C152" s="13">
        <v>60</v>
      </c>
    </row>
    <row r="153" spans="2:3" x14ac:dyDescent="0.3">
      <c r="B153" s="13">
        <v>3508</v>
      </c>
      <c r="C153" s="13">
        <v>60</v>
      </c>
    </row>
    <row r="154" spans="2:3" x14ac:dyDescent="0.3">
      <c r="B154" s="13">
        <v>37</v>
      </c>
      <c r="C154" s="13">
        <v>60</v>
      </c>
    </row>
    <row r="155" spans="2:3" x14ac:dyDescent="0.3">
      <c r="B155" s="13">
        <v>4756</v>
      </c>
      <c r="C155" s="13">
        <v>60</v>
      </c>
    </row>
    <row r="156" spans="2:3" x14ac:dyDescent="0.3">
      <c r="B156" s="13">
        <v>1701</v>
      </c>
      <c r="C156" s="13">
        <v>60</v>
      </c>
    </row>
    <row r="157" spans="2:3" x14ac:dyDescent="0.3">
      <c r="B157" s="13">
        <v>324</v>
      </c>
      <c r="C157" s="13">
        <v>60</v>
      </c>
    </row>
    <row r="158" spans="2:3" x14ac:dyDescent="0.3">
      <c r="B158" s="13">
        <v>1643</v>
      </c>
      <c r="C158" s="13">
        <v>60</v>
      </c>
    </row>
    <row r="159" spans="2:3" x14ac:dyDescent="0.3">
      <c r="B159" s="13">
        <v>9072</v>
      </c>
      <c r="C159" s="13">
        <v>60</v>
      </c>
    </row>
    <row r="160" spans="2:3" x14ac:dyDescent="0.3">
      <c r="B160" s="13">
        <v>615</v>
      </c>
      <c r="C160" s="13">
        <v>60</v>
      </c>
    </row>
    <row r="161" spans="2:3" x14ac:dyDescent="0.3">
      <c r="B161" s="13">
        <v>5322</v>
      </c>
      <c r="C161" s="13">
        <v>60</v>
      </c>
    </row>
    <row r="162" spans="2:3" x14ac:dyDescent="0.3">
      <c r="B162" s="13">
        <v>2458</v>
      </c>
      <c r="C162" s="13">
        <v>61</v>
      </c>
    </row>
    <row r="163" spans="2:3" x14ac:dyDescent="0.3">
      <c r="B163" s="13">
        <v>8881</v>
      </c>
      <c r="C163" s="13">
        <v>61</v>
      </c>
    </row>
    <row r="164" spans="2:3" x14ac:dyDescent="0.3">
      <c r="B164" s="13">
        <v>3459</v>
      </c>
      <c r="C164" s="13">
        <v>61</v>
      </c>
    </row>
    <row r="165" spans="2:3" x14ac:dyDescent="0.3">
      <c r="B165" s="13">
        <v>502</v>
      </c>
      <c r="C165" s="13">
        <v>61</v>
      </c>
    </row>
    <row r="166" spans="2:3" x14ac:dyDescent="0.3">
      <c r="B166" s="13">
        <v>1337</v>
      </c>
      <c r="C166" s="13">
        <v>61</v>
      </c>
    </row>
    <row r="167" spans="2:3" x14ac:dyDescent="0.3">
      <c r="B167" s="13">
        <v>2070</v>
      </c>
      <c r="C167" s="13">
        <v>61</v>
      </c>
    </row>
    <row r="168" spans="2:3" x14ac:dyDescent="0.3">
      <c r="B168" s="13">
        <v>2403</v>
      </c>
      <c r="C168" s="13">
        <v>61</v>
      </c>
    </row>
    <row r="169" spans="2:3" x14ac:dyDescent="0.3">
      <c r="B169" s="13">
        <v>9755</v>
      </c>
      <c r="C169" s="13">
        <v>62</v>
      </c>
    </row>
    <row r="170" spans="2:3" x14ac:dyDescent="0.3">
      <c r="B170" s="13">
        <v>6560</v>
      </c>
      <c r="C170" s="13">
        <v>62</v>
      </c>
    </row>
    <row r="171" spans="2:3" x14ac:dyDescent="0.3">
      <c r="B171" s="13">
        <v>6325</v>
      </c>
      <c r="C171" s="13">
        <v>62</v>
      </c>
    </row>
    <row r="172" spans="2:3" x14ac:dyDescent="0.3">
      <c r="B172" s="13">
        <v>4727</v>
      </c>
      <c r="C172" s="13">
        <v>62</v>
      </c>
    </row>
    <row r="173" spans="2:3" x14ac:dyDescent="0.3">
      <c r="B173" s="13">
        <v>6892</v>
      </c>
      <c r="C173" s="13">
        <v>62</v>
      </c>
    </row>
    <row r="174" spans="2:3" x14ac:dyDescent="0.3">
      <c r="B174" s="13">
        <v>1716</v>
      </c>
      <c r="C174" s="13">
        <v>62</v>
      </c>
    </row>
    <row r="175" spans="2:3" x14ac:dyDescent="0.3">
      <c r="B175" s="13">
        <v>1986</v>
      </c>
      <c r="C175" s="13">
        <v>62</v>
      </c>
    </row>
    <row r="176" spans="2:3" x14ac:dyDescent="0.3">
      <c r="B176" s="13">
        <v>9649</v>
      </c>
      <c r="C176" s="13">
        <v>62</v>
      </c>
    </row>
    <row r="177" spans="2:3" x14ac:dyDescent="0.3">
      <c r="B177" s="13">
        <v>3625</v>
      </c>
      <c r="C177" s="13">
        <v>62</v>
      </c>
    </row>
    <row r="178" spans="2:3" x14ac:dyDescent="0.3">
      <c r="B178" s="13">
        <v>5383</v>
      </c>
      <c r="C178" s="13">
        <v>62</v>
      </c>
    </row>
    <row r="179" spans="2:3" x14ac:dyDescent="0.3">
      <c r="B179" s="13">
        <v>8222</v>
      </c>
      <c r="C179" s="13">
        <v>62</v>
      </c>
    </row>
    <row r="180" spans="2:3" x14ac:dyDescent="0.3">
      <c r="B180" s="13">
        <v>793</v>
      </c>
      <c r="C180" s="13">
        <v>62</v>
      </c>
    </row>
    <row r="181" spans="2:3" x14ac:dyDescent="0.3">
      <c r="B181" s="13">
        <v>2771</v>
      </c>
      <c r="C181" s="13">
        <v>62</v>
      </c>
    </row>
    <row r="182" spans="2:3" x14ac:dyDescent="0.3">
      <c r="B182" s="13">
        <v>2148</v>
      </c>
      <c r="C182" s="13">
        <v>62</v>
      </c>
    </row>
    <row r="183" spans="2:3" x14ac:dyDescent="0.3">
      <c r="B183" s="13">
        <v>1913</v>
      </c>
      <c r="C183" s="13">
        <v>62</v>
      </c>
    </row>
    <row r="184" spans="2:3" x14ac:dyDescent="0.3">
      <c r="B184" s="13">
        <v>7203</v>
      </c>
      <c r="C184" s="13">
        <v>63</v>
      </c>
    </row>
    <row r="185" spans="2:3" x14ac:dyDescent="0.3">
      <c r="B185" s="13">
        <v>3833</v>
      </c>
      <c r="C185" s="13">
        <v>63</v>
      </c>
    </row>
    <row r="186" spans="2:3" x14ac:dyDescent="0.3">
      <c r="B186" s="13">
        <v>1353</v>
      </c>
      <c r="C186" s="13">
        <v>63</v>
      </c>
    </row>
    <row r="187" spans="2:3" x14ac:dyDescent="0.3">
      <c r="B187" s="13">
        <v>5787</v>
      </c>
      <c r="C187" s="13">
        <v>63</v>
      </c>
    </row>
    <row r="188" spans="2:3" x14ac:dyDescent="0.3">
      <c r="B188" s="13">
        <v>1959</v>
      </c>
      <c r="C188" s="13">
        <v>63</v>
      </c>
    </row>
    <row r="189" spans="2:3" x14ac:dyDescent="0.3">
      <c r="B189" s="13">
        <v>277</v>
      </c>
      <c r="C189" s="13">
        <v>63</v>
      </c>
    </row>
    <row r="190" spans="2:3" x14ac:dyDescent="0.3">
      <c r="B190" s="13">
        <v>7326</v>
      </c>
      <c r="C190" s="13">
        <v>63</v>
      </c>
    </row>
    <row r="191" spans="2:3" x14ac:dyDescent="0.3">
      <c r="B191" s="13">
        <v>188</v>
      </c>
      <c r="C191" s="13">
        <v>63</v>
      </c>
    </row>
    <row r="192" spans="2:3" x14ac:dyDescent="0.3">
      <c r="B192" s="13">
        <v>790</v>
      </c>
      <c r="C192" s="13">
        <v>63</v>
      </c>
    </row>
    <row r="193" spans="2:3" x14ac:dyDescent="0.3">
      <c r="B193" s="13">
        <v>6255</v>
      </c>
      <c r="C193" s="13">
        <v>63</v>
      </c>
    </row>
    <row r="194" spans="2:3" x14ac:dyDescent="0.3">
      <c r="B194" s="13">
        <v>6955</v>
      </c>
      <c r="C194" s="13">
        <v>63</v>
      </c>
    </row>
    <row r="195" spans="2:3" x14ac:dyDescent="0.3">
      <c r="B195" s="13">
        <v>2674</v>
      </c>
      <c r="C195" s="13">
        <v>63</v>
      </c>
    </row>
    <row r="196" spans="2:3" x14ac:dyDescent="0.3">
      <c r="B196" s="13">
        <v>2593</v>
      </c>
      <c r="C196" s="13">
        <v>63</v>
      </c>
    </row>
    <row r="197" spans="2:3" x14ac:dyDescent="0.3">
      <c r="B197" s="13">
        <v>6830</v>
      </c>
      <c r="C197" s="13">
        <v>63</v>
      </c>
    </row>
    <row r="198" spans="2:3" x14ac:dyDescent="0.3">
      <c r="B198" s="13">
        <v>7666</v>
      </c>
      <c r="C198" s="13">
        <v>63</v>
      </c>
    </row>
    <row r="199" spans="2:3" x14ac:dyDescent="0.3">
      <c r="B199" s="13">
        <v>8080</v>
      </c>
      <c r="C199" s="13">
        <v>63</v>
      </c>
    </row>
    <row r="200" spans="2:3" x14ac:dyDescent="0.3">
      <c r="B200" s="13">
        <v>8990</v>
      </c>
      <c r="C200" s="13">
        <v>63</v>
      </c>
    </row>
    <row r="201" spans="2:3" x14ac:dyDescent="0.3">
      <c r="B201" s="13">
        <v>5058</v>
      </c>
      <c r="C201" s="13">
        <v>63</v>
      </c>
    </row>
    <row r="202" spans="2:3" x14ac:dyDescent="0.3">
      <c r="B202" s="13">
        <v>7750</v>
      </c>
      <c r="C202" s="13">
        <v>63</v>
      </c>
    </row>
    <row r="203" spans="2:3" x14ac:dyDescent="0.3">
      <c r="B203" s="13">
        <v>1</v>
      </c>
      <c r="C203" s="13">
        <v>64</v>
      </c>
    </row>
    <row r="204" spans="2:3" x14ac:dyDescent="0.3">
      <c r="B204" s="13">
        <v>4566</v>
      </c>
      <c r="C204" s="13">
        <v>64</v>
      </c>
    </row>
    <row r="205" spans="2:3" x14ac:dyDescent="0.3">
      <c r="B205" s="13">
        <v>9677</v>
      </c>
      <c r="C205" s="13">
        <v>64</v>
      </c>
    </row>
    <row r="206" spans="2:3" x14ac:dyDescent="0.3">
      <c r="B206" s="13">
        <v>6914</v>
      </c>
      <c r="C206" s="13">
        <v>64</v>
      </c>
    </row>
    <row r="207" spans="2:3" x14ac:dyDescent="0.3">
      <c r="B207" s="13">
        <v>5692</v>
      </c>
      <c r="C207" s="13">
        <v>64</v>
      </c>
    </row>
    <row r="208" spans="2:3" x14ac:dyDescent="0.3">
      <c r="B208" s="13">
        <v>7999</v>
      </c>
      <c r="C208" s="13">
        <v>64</v>
      </c>
    </row>
    <row r="209" spans="2:3" x14ac:dyDescent="0.3">
      <c r="B209" s="13">
        <v>241</v>
      </c>
      <c r="C209" s="13">
        <v>64</v>
      </c>
    </row>
    <row r="210" spans="2:3" x14ac:dyDescent="0.3">
      <c r="B210" s="13">
        <v>7873</v>
      </c>
      <c r="C210" s="13">
        <v>64</v>
      </c>
    </row>
    <row r="211" spans="2:3" x14ac:dyDescent="0.3">
      <c r="B211" s="13">
        <v>9733</v>
      </c>
      <c r="C211" s="13">
        <v>64</v>
      </c>
    </row>
    <row r="212" spans="2:3" x14ac:dyDescent="0.3">
      <c r="B212" s="13">
        <v>7699</v>
      </c>
      <c r="C212" s="13">
        <v>64</v>
      </c>
    </row>
    <row r="213" spans="2:3" x14ac:dyDescent="0.3">
      <c r="B213" s="13">
        <v>3438</v>
      </c>
      <c r="C213" s="13">
        <v>64</v>
      </c>
    </row>
    <row r="214" spans="2:3" x14ac:dyDescent="0.3">
      <c r="B214" s="13">
        <v>7729</v>
      </c>
      <c r="C214" s="13">
        <v>64</v>
      </c>
    </row>
    <row r="215" spans="2:3" x14ac:dyDescent="0.3">
      <c r="B215" s="13">
        <v>8272</v>
      </c>
      <c r="C215" s="13">
        <v>64</v>
      </c>
    </row>
    <row r="216" spans="2:3" x14ac:dyDescent="0.3">
      <c r="B216" s="13">
        <v>5937</v>
      </c>
      <c r="C216" s="13">
        <v>64</v>
      </c>
    </row>
    <row r="217" spans="2:3" x14ac:dyDescent="0.3">
      <c r="B217" s="13">
        <v>446</v>
      </c>
      <c r="C217" s="13">
        <v>64</v>
      </c>
    </row>
    <row r="218" spans="2:3" x14ac:dyDescent="0.3">
      <c r="B218" s="13">
        <v>4088</v>
      </c>
      <c r="C218" s="13">
        <v>64</v>
      </c>
    </row>
    <row r="219" spans="2:3" x14ac:dyDescent="0.3">
      <c r="B219" s="13">
        <v>8801</v>
      </c>
      <c r="C219" s="13">
        <v>64</v>
      </c>
    </row>
    <row r="220" spans="2:3" x14ac:dyDescent="0.3">
      <c r="B220" s="13">
        <v>2839</v>
      </c>
      <c r="C220" s="13">
        <v>64</v>
      </c>
    </row>
    <row r="221" spans="2:3" x14ac:dyDescent="0.3">
      <c r="B221" s="13">
        <v>8066</v>
      </c>
      <c r="C221" s="13">
        <v>65</v>
      </c>
    </row>
    <row r="222" spans="2:3" x14ac:dyDescent="0.3">
      <c r="B222" s="13">
        <v>4803</v>
      </c>
      <c r="C222" s="13">
        <v>65</v>
      </c>
    </row>
    <row r="223" spans="2:3" x14ac:dyDescent="0.3">
      <c r="B223" s="13">
        <v>5138</v>
      </c>
      <c r="C223" s="13">
        <v>65</v>
      </c>
    </row>
    <row r="224" spans="2:3" x14ac:dyDescent="0.3">
      <c r="B224" s="13">
        <v>3049</v>
      </c>
      <c r="C224" s="13">
        <v>65</v>
      </c>
    </row>
    <row r="225" spans="2:3" x14ac:dyDescent="0.3">
      <c r="B225" s="13">
        <v>5049</v>
      </c>
      <c r="C225" s="13">
        <v>65</v>
      </c>
    </row>
    <row r="226" spans="2:3" x14ac:dyDescent="0.3">
      <c r="B226" s="13">
        <v>1889</v>
      </c>
      <c r="C226" s="13">
        <v>65</v>
      </c>
    </row>
    <row r="227" spans="2:3" x14ac:dyDescent="0.3">
      <c r="B227" s="13">
        <v>3555</v>
      </c>
      <c r="C227" s="13">
        <v>65</v>
      </c>
    </row>
    <row r="228" spans="2:3" x14ac:dyDescent="0.3">
      <c r="B228" s="13">
        <v>4173</v>
      </c>
      <c r="C228" s="13">
        <v>65</v>
      </c>
    </row>
    <row r="229" spans="2:3" x14ac:dyDescent="0.3">
      <c r="B229" s="13">
        <v>1672</v>
      </c>
      <c r="C229" s="13">
        <v>65</v>
      </c>
    </row>
    <row r="230" spans="2:3" x14ac:dyDescent="0.3">
      <c r="B230" s="13">
        <v>2227</v>
      </c>
      <c r="C230" s="13">
        <v>65</v>
      </c>
    </row>
    <row r="231" spans="2:3" x14ac:dyDescent="0.3">
      <c r="B231" s="13">
        <v>6558</v>
      </c>
      <c r="C231" s="13">
        <v>65</v>
      </c>
    </row>
    <row r="232" spans="2:3" x14ac:dyDescent="0.3">
      <c r="B232" s="13">
        <v>4961</v>
      </c>
      <c r="C232" s="13">
        <v>65</v>
      </c>
    </row>
    <row r="233" spans="2:3" x14ac:dyDescent="0.3">
      <c r="B233" s="13">
        <v>5008</v>
      </c>
      <c r="C233" s="13">
        <v>65</v>
      </c>
    </row>
    <row r="234" spans="2:3" x14ac:dyDescent="0.3">
      <c r="B234" s="13">
        <v>9138</v>
      </c>
      <c r="C234" s="13">
        <v>65</v>
      </c>
    </row>
    <row r="235" spans="2:3" x14ac:dyDescent="0.3">
      <c r="B235" s="13">
        <v>8694</v>
      </c>
      <c r="C235" s="13">
        <v>65</v>
      </c>
    </row>
    <row r="236" spans="2:3" x14ac:dyDescent="0.3">
      <c r="B236" s="13">
        <v>6915</v>
      </c>
      <c r="C236" s="13">
        <v>66</v>
      </c>
    </row>
    <row r="237" spans="2:3" x14ac:dyDescent="0.3">
      <c r="B237" s="13">
        <v>9950</v>
      </c>
      <c r="C237" s="13">
        <v>66</v>
      </c>
    </row>
    <row r="238" spans="2:3" x14ac:dyDescent="0.3">
      <c r="B238" s="13">
        <v>6044</v>
      </c>
      <c r="C238" s="13">
        <v>66</v>
      </c>
    </row>
    <row r="239" spans="2:3" x14ac:dyDescent="0.3">
      <c r="B239" s="13">
        <v>1786</v>
      </c>
      <c r="C239" s="13">
        <v>66</v>
      </c>
    </row>
    <row r="240" spans="2:3" x14ac:dyDescent="0.3">
      <c r="B240" s="13">
        <v>6309</v>
      </c>
      <c r="C240" s="13">
        <v>66</v>
      </c>
    </row>
    <row r="241" spans="2:3" x14ac:dyDescent="0.3">
      <c r="B241" s="13">
        <v>8377</v>
      </c>
      <c r="C241" s="13">
        <v>66</v>
      </c>
    </row>
    <row r="242" spans="2:3" x14ac:dyDescent="0.3">
      <c r="B242" s="13">
        <v>139</v>
      </c>
      <c r="C242" s="13">
        <v>66</v>
      </c>
    </row>
    <row r="243" spans="2:3" x14ac:dyDescent="0.3">
      <c r="B243" s="13">
        <v>3062</v>
      </c>
      <c r="C243" s="13">
        <v>66</v>
      </c>
    </row>
    <row r="244" spans="2:3" x14ac:dyDescent="0.3">
      <c r="B244" s="13">
        <v>6064</v>
      </c>
      <c r="C244" s="13">
        <v>66</v>
      </c>
    </row>
    <row r="245" spans="2:3" x14ac:dyDescent="0.3">
      <c r="B245" s="13">
        <v>1551</v>
      </c>
      <c r="C245" s="13">
        <v>66</v>
      </c>
    </row>
    <row r="246" spans="2:3" x14ac:dyDescent="0.3">
      <c r="B246" s="13">
        <v>6481</v>
      </c>
      <c r="C246" s="13">
        <v>66</v>
      </c>
    </row>
    <row r="247" spans="2:3" x14ac:dyDescent="0.3">
      <c r="B247" s="13">
        <v>6620</v>
      </c>
      <c r="C247" s="13">
        <v>66</v>
      </c>
    </row>
    <row r="248" spans="2:3" x14ac:dyDescent="0.3">
      <c r="B248" s="13">
        <v>9304</v>
      </c>
      <c r="C248" s="13">
        <v>67</v>
      </c>
    </row>
    <row r="249" spans="2:3" x14ac:dyDescent="0.3">
      <c r="B249" s="13">
        <v>1029</v>
      </c>
      <c r="C249" s="13">
        <v>67</v>
      </c>
    </row>
    <row r="250" spans="2:3" x14ac:dyDescent="0.3">
      <c r="B250" s="13">
        <v>6936</v>
      </c>
      <c r="C250" s="13">
        <v>67</v>
      </c>
    </row>
    <row r="251" spans="2:3" x14ac:dyDescent="0.3">
      <c r="B251" s="13">
        <v>2778</v>
      </c>
      <c r="C251" s="13">
        <v>67</v>
      </c>
    </row>
    <row r="252" spans="2:3" x14ac:dyDescent="0.3">
      <c r="B252" s="13">
        <v>7009</v>
      </c>
      <c r="C252" s="13">
        <v>67</v>
      </c>
    </row>
    <row r="253" spans="2:3" x14ac:dyDescent="0.3">
      <c r="B253" s="13">
        <v>8722</v>
      </c>
      <c r="C253" s="13">
        <v>67</v>
      </c>
    </row>
    <row r="254" spans="2:3" x14ac:dyDescent="0.3">
      <c r="B254" s="13">
        <v>2280</v>
      </c>
      <c r="C254" s="13">
        <v>67</v>
      </c>
    </row>
    <row r="255" spans="2:3" x14ac:dyDescent="0.3">
      <c r="B255" s="13">
        <v>2376</v>
      </c>
      <c r="C255" s="13">
        <v>67</v>
      </c>
    </row>
    <row r="256" spans="2:3" x14ac:dyDescent="0.3">
      <c r="B256" s="13">
        <v>8737</v>
      </c>
      <c r="C256" s="13">
        <v>67</v>
      </c>
    </row>
    <row r="257" spans="2:3" x14ac:dyDescent="0.3">
      <c r="B257" s="13">
        <v>976</v>
      </c>
      <c r="C257" s="13">
        <v>67</v>
      </c>
    </row>
    <row r="258" spans="2:3" x14ac:dyDescent="0.3">
      <c r="B258" s="13">
        <v>498</v>
      </c>
      <c r="C258" s="13">
        <v>67</v>
      </c>
    </row>
    <row r="259" spans="2:3" x14ac:dyDescent="0.3">
      <c r="B259" s="13">
        <v>7910</v>
      </c>
      <c r="C259" s="13">
        <v>67</v>
      </c>
    </row>
    <row r="260" spans="2:3" x14ac:dyDescent="0.3">
      <c r="B260" s="13">
        <v>8499</v>
      </c>
      <c r="C260" s="13">
        <v>67</v>
      </c>
    </row>
    <row r="261" spans="2:3" x14ac:dyDescent="0.3">
      <c r="B261" s="13">
        <v>5147</v>
      </c>
      <c r="C261" s="13">
        <v>67</v>
      </c>
    </row>
    <row r="262" spans="2:3" x14ac:dyDescent="0.3">
      <c r="B262" s="13">
        <v>2219</v>
      </c>
      <c r="C262" s="13">
        <v>67</v>
      </c>
    </row>
    <row r="263" spans="2:3" x14ac:dyDescent="0.3">
      <c r="B263" s="13">
        <v>7516</v>
      </c>
      <c r="C263" s="13">
        <v>67</v>
      </c>
    </row>
    <row r="264" spans="2:3" x14ac:dyDescent="0.3">
      <c r="B264" s="13">
        <v>4725</v>
      </c>
      <c r="C264" s="13">
        <v>67</v>
      </c>
    </row>
    <row r="265" spans="2:3" x14ac:dyDescent="0.3">
      <c r="B265" s="13">
        <v>9193</v>
      </c>
      <c r="C265" s="13">
        <v>67</v>
      </c>
    </row>
    <row r="266" spans="2:3" x14ac:dyDescent="0.3">
      <c r="B266" s="13">
        <v>1542</v>
      </c>
      <c r="C266" s="13">
        <v>67</v>
      </c>
    </row>
    <row r="267" spans="2:3" x14ac:dyDescent="0.3">
      <c r="B267" s="13">
        <v>3114</v>
      </c>
      <c r="C267" s="13">
        <v>68</v>
      </c>
    </row>
    <row r="268" spans="2:3" x14ac:dyDescent="0.3">
      <c r="B268" s="13">
        <v>8143</v>
      </c>
      <c r="C268" s="13">
        <v>68</v>
      </c>
    </row>
    <row r="269" spans="2:3" x14ac:dyDescent="0.3">
      <c r="B269" s="13">
        <v>9785</v>
      </c>
      <c r="C269" s="13">
        <v>68</v>
      </c>
    </row>
    <row r="270" spans="2:3" x14ac:dyDescent="0.3">
      <c r="B270" s="13">
        <v>9257</v>
      </c>
      <c r="C270" s="13">
        <v>68</v>
      </c>
    </row>
    <row r="271" spans="2:3" x14ac:dyDescent="0.3">
      <c r="B271" s="13">
        <v>1716</v>
      </c>
      <c r="C271" s="13">
        <v>68</v>
      </c>
    </row>
    <row r="272" spans="2:3" x14ac:dyDescent="0.3">
      <c r="B272" s="13">
        <v>6441</v>
      </c>
      <c r="C272" s="13">
        <v>68</v>
      </c>
    </row>
    <row r="273" spans="2:3" x14ac:dyDescent="0.3">
      <c r="B273" s="13">
        <v>7759</v>
      </c>
      <c r="C273" s="13">
        <v>68</v>
      </c>
    </row>
    <row r="274" spans="2:3" x14ac:dyDescent="0.3">
      <c r="B274" s="13">
        <v>8124</v>
      </c>
      <c r="C274" s="13">
        <v>68</v>
      </c>
    </row>
    <row r="275" spans="2:3" x14ac:dyDescent="0.3">
      <c r="B275" s="13">
        <v>2906</v>
      </c>
      <c r="C275" s="13">
        <v>68</v>
      </c>
    </row>
    <row r="276" spans="2:3" x14ac:dyDescent="0.3">
      <c r="B276" s="13">
        <v>534</v>
      </c>
      <c r="C276" s="13">
        <v>68</v>
      </c>
    </row>
    <row r="277" spans="2:3" x14ac:dyDescent="0.3">
      <c r="B277" s="13">
        <v>4150</v>
      </c>
      <c r="C277" s="13">
        <v>68</v>
      </c>
    </row>
    <row r="278" spans="2:3" x14ac:dyDescent="0.3">
      <c r="B278" s="13">
        <v>6003</v>
      </c>
      <c r="C278" s="13">
        <v>68</v>
      </c>
    </row>
    <row r="279" spans="2:3" x14ac:dyDescent="0.3">
      <c r="B279" s="13">
        <v>6460</v>
      </c>
      <c r="C279" s="13">
        <v>68</v>
      </c>
    </row>
    <row r="280" spans="2:3" x14ac:dyDescent="0.3">
      <c r="B280" s="13">
        <v>4698</v>
      </c>
      <c r="C280" s="13">
        <v>68</v>
      </c>
    </row>
    <row r="281" spans="2:3" x14ac:dyDescent="0.3">
      <c r="B281" s="13">
        <v>647</v>
      </c>
      <c r="C281" s="13">
        <v>68</v>
      </c>
    </row>
    <row r="282" spans="2:3" x14ac:dyDescent="0.3">
      <c r="B282" s="13">
        <v>142</v>
      </c>
      <c r="C282" s="13">
        <v>69</v>
      </c>
    </row>
    <row r="283" spans="2:3" x14ac:dyDescent="0.3">
      <c r="B283" s="13">
        <v>7109</v>
      </c>
      <c r="C283" s="13">
        <v>69</v>
      </c>
    </row>
    <row r="284" spans="2:3" x14ac:dyDescent="0.3">
      <c r="B284" s="13">
        <v>2822</v>
      </c>
      <c r="C284" s="13">
        <v>69</v>
      </c>
    </row>
    <row r="285" spans="2:3" x14ac:dyDescent="0.3">
      <c r="B285" s="13">
        <v>6506</v>
      </c>
      <c r="C285" s="13">
        <v>69</v>
      </c>
    </row>
    <row r="286" spans="2:3" x14ac:dyDescent="0.3">
      <c r="B286" s="13">
        <v>6855</v>
      </c>
      <c r="C286" s="13">
        <v>69</v>
      </c>
    </row>
    <row r="287" spans="2:3" x14ac:dyDescent="0.3">
      <c r="B287" s="13">
        <v>132</v>
      </c>
      <c r="C287" s="13">
        <v>69</v>
      </c>
    </row>
    <row r="288" spans="2:3" x14ac:dyDescent="0.3">
      <c r="B288" s="13">
        <v>6468</v>
      </c>
      <c r="C288" s="13">
        <v>69</v>
      </c>
    </row>
    <row r="289" spans="2:3" x14ac:dyDescent="0.3">
      <c r="B289" s="13">
        <v>2415</v>
      </c>
      <c r="C289" s="13">
        <v>69</v>
      </c>
    </row>
    <row r="290" spans="2:3" x14ac:dyDescent="0.3">
      <c r="B290" s="13">
        <v>8179</v>
      </c>
      <c r="C290" s="13">
        <v>69</v>
      </c>
    </row>
    <row r="291" spans="2:3" x14ac:dyDescent="0.3">
      <c r="B291" s="13">
        <v>8680</v>
      </c>
      <c r="C291" s="13">
        <v>69</v>
      </c>
    </row>
    <row r="292" spans="2:3" x14ac:dyDescent="0.3">
      <c r="B292" s="13">
        <v>9796</v>
      </c>
      <c r="C292" s="13">
        <v>69</v>
      </c>
    </row>
    <row r="293" spans="2:3" x14ac:dyDescent="0.3">
      <c r="B293" s="13">
        <v>3918</v>
      </c>
      <c r="C293" s="13">
        <v>70</v>
      </c>
    </row>
    <row r="294" spans="2:3" x14ac:dyDescent="0.3">
      <c r="B294" s="13">
        <v>5782</v>
      </c>
      <c r="C294" s="13">
        <v>70</v>
      </c>
    </row>
    <row r="295" spans="2:3" x14ac:dyDescent="0.3">
      <c r="B295" s="13">
        <v>530</v>
      </c>
      <c r="C295" s="13">
        <v>70</v>
      </c>
    </row>
    <row r="296" spans="2:3" x14ac:dyDescent="0.3">
      <c r="B296" s="13">
        <v>7332</v>
      </c>
      <c r="C296" s="13">
        <v>70</v>
      </c>
    </row>
    <row r="297" spans="2:3" x14ac:dyDescent="0.3">
      <c r="B297" s="13">
        <v>228</v>
      </c>
      <c r="C297" s="13">
        <v>70</v>
      </c>
    </row>
    <row r="298" spans="2:3" x14ac:dyDescent="0.3">
      <c r="B298" s="13">
        <v>9696</v>
      </c>
      <c r="C298" s="13">
        <v>70</v>
      </c>
    </row>
    <row r="299" spans="2:3" x14ac:dyDescent="0.3">
      <c r="B299" s="13">
        <v>9111</v>
      </c>
      <c r="C299" s="13">
        <v>70</v>
      </c>
    </row>
    <row r="300" spans="2:3" x14ac:dyDescent="0.3">
      <c r="B300" s="13">
        <v>4526</v>
      </c>
      <c r="C300" s="13">
        <v>70</v>
      </c>
    </row>
    <row r="301" spans="2:3" x14ac:dyDescent="0.3">
      <c r="B301" s="13">
        <v>8720</v>
      </c>
      <c r="C301" s="13">
        <v>70</v>
      </c>
    </row>
    <row r="302" spans="2:3" x14ac:dyDescent="0.3">
      <c r="B302" s="13">
        <v>258</v>
      </c>
      <c r="C302" s="13">
        <v>80</v>
      </c>
    </row>
    <row r="303" spans="2:3" x14ac:dyDescent="0.3">
      <c r="B303" s="13">
        <v>445</v>
      </c>
      <c r="C303" s="13">
        <v>80</v>
      </c>
    </row>
    <row r="304" spans="2:3" x14ac:dyDescent="0.3">
      <c r="B304" s="13">
        <v>8852</v>
      </c>
      <c r="C304" s="13">
        <v>81</v>
      </c>
    </row>
    <row r="305" spans="2:3" x14ac:dyDescent="0.3">
      <c r="B305" s="13">
        <v>7534</v>
      </c>
      <c r="C305" s="13">
        <v>81</v>
      </c>
    </row>
    <row r="306" spans="2:3" x14ac:dyDescent="0.3">
      <c r="B306" s="13">
        <v>8308</v>
      </c>
      <c r="C306" s="13">
        <v>81</v>
      </c>
    </row>
    <row r="307" spans="2:3" x14ac:dyDescent="0.3">
      <c r="B307" s="13">
        <v>4167</v>
      </c>
      <c r="C307" s="13">
        <v>81</v>
      </c>
    </row>
    <row r="308" spans="2:3" x14ac:dyDescent="0.3">
      <c r="B308" s="13">
        <v>4213</v>
      </c>
      <c r="C308" s="13">
        <v>81</v>
      </c>
    </row>
    <row r="309" spans="2:3" x14ac:dyDescent="0.3">
      <c r="B309" s="13">
        <v>324</v>
      </c>
      <c r="C309" s="13">
        <v>82</v>
      </c>
    </row>
    <row r="310" spans="2:3" x14ac:dyDescent="0.3">
      <c r="B310" s="13">
        <v>6882</v>
      </c>
      <c r="C310" s="13">
        <v>82</v>
      </c>
    </row>
    <row r="311" spans="2:3" x14ac:dyDescent="0.3">
      <c r="B311" s="13">
        <v>3527</v>
      </c>
      <c r="C311" s="13">
        <v>82</v>
      </c>
    </row>
    <row r="312" spans="2:3" x14ac:dyDescent="0.3">
      <c r="B312" s="13">
        <v>8545</v>
      </c>
      <c r="C312" s="13">
        <v>82</v>
      </c>
    </row>
    <row r="313" spans="2:3" x14ac:dyDescent="0.3">
      <c r="B313" s="13">
        <v>7622</v>
      </c>
      <c r="C313" s="13">
        <v>82</v>
      </c>
    </row>
    <row r="314" spans="2:3" x14ac:dyDescent="0.3">
      <c r="B314" s="13">
        <v>8110</v>
      </c>
      <c r="C314" s="13">
        <v>82</v>
      </c>
    </row>
    <row r="315" spans="2:3" x14ac:dyDescent="0.3">
      <c r="B315" s="13">
        <v>3644</v>
      </c>
      <c r="C315" s="13">
        <v>82</v>
      </c>
    </row>
    <row r="316" spans="2:3" x14ac:dyDescent="0.3">
      <c r="B316" s="13">
        <v>6344</v>
      </c>
      <c r="C316" s="13">
        <v>82</v>
      </c>
    </row>
    <row r="317" spans="2:3" x14ac:dyDescent="0.3">
      <c r="B317" s="13">
        <v>9678</v>
      </c>
      <c r="C317" s="13">
        <v>82</v>
      </c>
    </row>
    <row r="318" spans="2:3" x14ac:dyDescent="0.3">
      <c r="B318" s="13">
        <v>480</v>
      </c>
      <c r="C318" s="13">
        <v>83</v>
      </c>
    </row>
    <row r="319" spans="2:3" x14ac:dyDescent="0.3">
      <c r="B319" s="13">
        <v>5835</v>
      </c>
      <c r="C319" s="13">
        <v>83</v>
      </c>
    </row>
    <row r="320" spans="2:3" x14ac:dyDescent="0.3">
      <c r="B320" s="13">
        <v>2406</v>
      </c>
      <c r="C320" s="13">
        <v>83</v>
      </c>
    </row>
    <row r="321" spans="2:3" x14ac:dyDescent="0.3">
      <c r="B321" s="13">
        <v>36</v>
      </c>
      <c r="C321" s="13">
        <v>83</v>
      </c>
    </row>
    <row r="322" spans="2:3" x14ac:dyDescent="0.3">
      <c r="B322" s="13">
        <v>3264</v>
      </c>
      <c r="C322" s="13">
        <v>83</v>
      </c>
    </row>
    <row r="323" spans="2:3" x14ac:dyDescent="0.3">
      <c r="B323" s="13">
        <v>9993</v>
      </c>
      <c r="C323" s="13">
        <v>83</v>
      </c>
    </row>
    <row r="324" spans="2:3" x14ac:dyDescent="0.3">
      <c r="B324" s="13">
        <v>4055</v>
      </c>
      <c r="C324" s="13">
        <v>84</v>
      </c>
    </row>
    <row r="325" spans="2:3" x14ac:dyDescent="0.3">
      <c r="B325" s="13">
        <v>2030</v>
      </c>
      <c r="C325" s="13">
        <v>84</v>
      </c>
    </row>
    <row r="326" spans="2:3" x14ac:dyDescent="0.3">
      <c r="B326" s="13">
        <v>3293</v>
      </c>
      <c r="C326" s="13">
        <v>84</v>
      </c>
    </row>
    <row r="327" spans="2:3" x14ac:dyDescent="0.3">
      <c r="B327" s="13">
        <v>2901</v>
      </c>
      <c r="C327" s="13">
        <v>85</v>
      </c>
    </row>
    <row r="328" spans="2:3" x14ac:dyDescent="0.3">
      <c r="B328" s="13">
        <v>3052</v>
      </c>
      <c r="C328" s="13">
        <v>85</v>
      </c>
    </row>
    <row r="329" spans="2:3" x14ac:dyDescent="0.3">
      <c r="B329" s="13">
        <v>8287</v>
      </c>
      <c r="C329" s="13">
        <v>85</v>
      </c>
    </row>
    <row r="330" spans="2:3" x14ac:dyDescent="0.3">
      <c r="B330" s="13">
        <v>8814</v>
      </c>
      <c r="C330" s="13">
        <v>85</v>
      </c>
    </row>
    <row r="331" spans="2:3" x14ac:dyDescent="0.3">
      <c r="B331" s="13">
        <v>31</v>
      </c>
      <c r="C331" s="13">
        <v>85</v>
      </c>
    </row>
    <row r="332" spans="2:3" x14ac:dyDescent="0.3">
      <c r="B332" s="13">
        <v>4287</v>
      </c>
      <c r="C332" s="13">
        <v>85</v>
      </c>
    </row>
    <row r="333" spans="2:3" x14ac:dyDescent="0.3">
      <c r="B333" s="13">
        <v>835</v>
      </c>
      <c r="C333" s="13">
        <v>85</v>
      </c>
    </row>
    <row r="334" spans="2:3" x14ac:dyDescent="0.3">
      <c r="B334" s="13">
        <v>6516</v>
      </c>
      <c r="C334" s="13">
        <v>86</v>
      </c>
    </row>
    <row r="335" spans="2:3" x14ac:dyDescent="0.3">
      <c r="B335" s="13">
        <v>1833</v>
      </c>
      <c r="C335" s="13">
        <v>86</v>
      </c>
    </row>
    <row r="336" spans="2:3" x14ac:dyDescent="0.3">
      <c r="B336" s="13">
        <v>5864</v>
      </c>
      <c r="C336" s="13">
        <v>86</v>
      </c>
    </row>
    <row r="337" spans="2:3" x14ac:dyDescent="0.3">
      <c r="B337" s="13">
        <v>3678</v>
      </c>
      <c r="C337" s="13">
        <v>86</v>
      </c>
    </row>
    <row r="338" spans="2:3" x14ac:dyDescent="0.3">
      <c r="B338" s="13">
        <v>5066</v>
      </c>
      <c r="C338" s="13">
        <v>86</v>
      </c>
    </row>
    <row r="339" spans="2:3" x14ac:dyDescent="0.3">
      <c r="B339" s="13">
        <v>1782</v>
      </c>
      <c r="C339" s="13">
        <v>87</v>
      </c>
    </row>
    <row r="340" spans="2:3" x14ac:dyDescent="0.3">
      <c r="B340" s="13">
        <v>1057</v>
      </c>
      <c r="C340" s="13">
        <v>87</v>
      </c>
    </row>
    <row r="341" spans="2:3" x14ac:dyDescent="0.3">
      <c r="B341" s="13">
        <v>9293</v>
      </c>
      <c r="C341" s="13">
        <v>87</v>
      </c>
    </row>
    <row r="342" spans="2:3" x14ac:dyDescent="0.3">
      <c r="B342" s="13">
        <v>415</v>
      </c>
      <c r="C342" s="13">
        <v>87</v>
      </c>
    </row>
    <row r="343" spans="2:3" x14ac:dyDescent="0.3">
      <c r="B343" s="13">
        <v>7183</v>
      </c>
      <c r="C343" s="13">
        <v>87</v>
      </c>
    </row>
    <row r="344" spans="2:3" x14ac:dyDescent="0.3">
      <c r="B344" s="13">
        <v>6673</v>
      </c>
      <c r="C344" s="13">
        <v>87</v>
      </c>
    </row>
    <row r="345" spans="2:3" x14ac:dyDescent="0.3">
      <c r="B345" s="13">
        <v>7464</v>
      </c>
      <c r="C345" s="13">
        <v>88</v>
      </c>
    </row>
    <row r="346" spans="2:3" x14ac:dyDescent="0.3">
      <c r="B346" s="13">
        <v>1742</v>
      </c>
      <c r="C346" s="13">
        <v>88</v>
      </c>
    </row>
    <row r="347" spans="2:3" x14ac:dyDescent="0.3">
      <c r="B347" s="13">
        <v>753</v>
      </c>
      <c r="C347" s="13">
        <v>88</v>
      </c>
    </row>
    <row r="348" spans="2:3" x14ac:dyDescent="0.3">
      <c r="B348" s="13">
        <v>6427</v>
      </c>
      <c r="C348" s="13">
        <v>88</v>
      </c>
    </row>
    <row r="349" spans="2:3" x14ac:dyDescent="0.3">
      <c r="B349" s="13">
        <v>1211</v>
      </c>
      <c r="C349" s="13">
        <v>88</v>
      </c>
    </row>
    <row r="350" spans="2:3" x14ac:dyDescent="0.3">
      <c r="B350" s="13">
        <v>1825</v>
      </c>
      <c r="C350" s="13">
        <v>88</v>
      </c>
    </row>
    <row r="351" spans="2:3" x14ac:dyDescent="0.3">
      <c r="B351" s="13">
        <v>6328</v>
      </c>
      <c r="C351" s="13">
        <v>88</v>
      </c>
    </row>
    <row r="352" spans="2:3" x14ac:dyDescent="0.3">
      <c r="B352" s="13">
        <v>1065</v>
      </c>
      <c r="C352" s="13">
        <v>89</v>
      </c>
    </row>
    <row r="353" spans="2:3" x14ac:dyDescent="0.3">
      <c r="B353" s="13">
        <v>6124</v>
      </c>
      <c r="C353" s="13">
        <v>89</v>
      </c>
    </row>
    <row r="354" spans="2:3" x14ac:dyDescent="0.3">
      <c r="B354" s="13">
        <v>2148</v>
      </c>
      <c r="C354" s="13">
        <v>89</v>
      </c>
    </row>
    <row r="355" spans="2:3" x14ac:dyDescent="0.3">
      <c r="B355" s="13">
        <v>161</v>
      </c>
      <c r="C355" s="13">
        <v>89</v>
      </c>
    </row>
    <row r="356" spans="2:3" x14ac:dyDescent="0.3">
      <c r="B356" s="13">
        <v>5521</v>
      </c>
      <c r="C356" s="13">
        <v>89</v>
      </c>
    </row>
    <row r="357" spans="2:3" x14ac:dyDescent="0.3">
      <c r="B357" s="13">
        <v>1482</v>
      </c>
      <c r="C357" s="13">
        <v>89</v>
      </c>
    </row>
    <row r="358" spans="2:3" x14ac:dyDescent="0.3">
      <c r="B358" s="13">
        <v>5204</v>
      </c>
      <c r="C358" s="13">
        <v>90</v>
      </c>
    </row>
    <row r="359" spans="2:3" x14ac:dyDescent="0.3">
      <c r="B359" s="13">
        <v>6638</v>
      </c>
      <c r="C359" s="13">
        <v>90</v>
      </c>
    </row>
    <row r="360" spans="2:3" x14ac:dyDescent="0.3">
      <c r="B360" s="13">
        <v>6893</v>
      </c>
      <c r="C360" s="13">
        <v>90</v>
      </c>
    </row>
    <row r="361" spans="2:3" x14ac:dyDescent="0.3">
      <c r="B361" s="13">
        <v>2379</v>
      </c>
      <c r="C361" s="13">
        <v>90</v>
      </c>
    </row>
    <row r="362" spans="2:3" x14ac:dyDescent="0.3">
      <c r="B362" s="13">
        <v>7746</v>
      </c>
      <c r="C362" s="13">
        <v>90</v>
      </c>
    </row>
    <row r="363" spans="2:3" x14ac:dyDescent="0.3">
      <c r="B363" s="13">
        <v>5805</v>
      </c>
      <c r="C363" s="13">
        <v>91</v>
      </c>
    </row>
    <row r="364" spans="2:3" x14ac:dyDescent="0.3">
      <c r="B364" s="13">
        <v>3675</v>
      </c>
      <c r="C364" s="13">
        <v>91</v>
      </c>
    </row>
    <row r="365" spans="2:3" x14ac:dyDescent="0.3">
      <c r="B365" s="13">
        <v>506</v>
      </c>
      <c r="C365" s="13">
        <v>91</v>
      </c>
    </row>
    <row r="366" spans="2:3" x14ac:dyDescent="0.3">
      <c r="B366" s="13">
        <v>8549</v>
      </c>
      <c r="C366" s="13">
        <v>91</v>
      </c>
    </row>
    <row r="367" spans="2:3" x14ac:dyDescent="0.3">
      <c r="B367" s="13">
        <v>2598</v>
      </c>
      <c r="C367" s="13">
        <v>91</v>
      </c>
    </row>
    <row r="368" spans="2:3" x14ac:dyDescent="0.3">
      <c r="B368" s="13">
        <v>3069</v>
      </c>
      <c r="C368" s="13">
        <v>91</v>
      </c>
    </row>
    <row r="369" spans="2:3" x14ac:dyDescent="0.3">
      <c r="B369" s="13">
        <v>2067</v>
      </c>
      <c r="C369" s="13">
        <v>91</v>
      </c>
    </row>
    <row r="370" spans="2:3" x14ac:dyDescent="0.3">
      <c r="B370" s="13">
        <v>2230</v>
      </c>
      <c r="C370" s="13">
        <v>91</v>
      </c>
    </row>
    <row r="371" spans="2:3" x14ac:dyDescent="0.3">
      <c r="B371" s="13">
        <v>4983</v>
      </c>
      <c r="C371" s="13">
        <v>91</v>
      </c>
    </row>
    <row r="372" spans="2:3" x14ac:dyDescent="0.3">
      <c r="B372" s="13">
        <v>5448</v>
      </c>
      <c r="C372" s="13">
        <v>91</v>
      </c>
    </row>
    <row r="373" spans="2:3" x14ac:dyDescent="0.3">
      <c r="B373" s="13">
        <v>802</v>
      </c>
      <c r="C373" s="13">
        <v>91</v>
      </c>
    </row>
    <row r="374" spans="2:3" x14ac:dyDescent="0.3">
      <c r="B374" s="13">
        <v>3174</v>
      </c>
      <c r="C374" s="13">
        <v>92</v>
      </c>
    </row>
    <row r="375" spans="2:3" x14ac:dyDescent="0.3">
      <c r="B375" s="13">
        <v>9404</v>
      </c>
      <c r="C375" s="13">
        <v>92</v>
      </c>
    </row>
    <row r="376" spans="2:3" x14ac:dyDescent="0.3">
      <c r="B376" s="13">
        <v>6471</v>
      </c>
      <c r="C376" s="13">
        <v>92</v>
      </c>
    </row>
    <row r="377" spans="2:3" x14ac:dyDescent="0.3">
      <c r="B377" s="13">
        <v>9889</v>
      </c>
      <c r="C377" s="13">
        <v>92</v>
      </c>
    </row>
    <row r="378" spans="2:3" x14ac:dyDescent="0.3">
      <c r="B378" s="13">
        <v>9964</v>
      </c>
      <c r="C378" s="13">
        <v>92</v>
      </c>
    </row>
    <row r="379" spans="2:3" x14ac:dyDescent="0.3">
      <c r="B379" s="13">
        <v>6272</v>
      </c>
      <c r="C379" s="13">
        <v>92</v>
      </c>
    </row>
    <row r="380" spans="2:3" x14ac:dyDescent="0.3">
      <c r="B380" s="13">
        <v>502</v>
      </c>
      <c r="C380" s="13">
        <v>92</v>
      </c>
    </row>
    <row r="381" spans="2:3" x14ac:dyDescent="0.3">
      <c r="B381" s="13">
        <v>2297</v>
      </c>
      <c r="C381" s="13">
        <v>92</v>
      </c>
    </row>
    <row r="382" spans="2:3" x14ac:dyDescent="0.3">
      <c r="B382" s="13">
        <v>5914</v>
      </c>
      <c r="C382" s="13">
        <v>92</v>
      </c>
    </row>
    <row r="383" spans="2:3" x14ac:dyDescent="0.3">
      <c r="B383" s="13">
        <v>6722</v>
      </c>
      <c r="C383" s="13">
        <v>92</v>
      </c>
    </row>
    <row r="384" spans="2:3" x14ac:dyDescent="0.3">
      <c r="B384" s="13">
        <v>4414</v>
      </c>
      <c r="C384" s="13">
        <v>92</v>
      </c>
    </row>
    <row r="385" spans="2:3" x14ac:dyDescent="0.3">
      <c r="B385" s="13">
        <v>7807</v>
      </c>
      <c r="C385" s="13">
        <v>92</v>
      </c>
    </row>
    <row r="386" spans="2:3" x14ac:dyDescent="0.3">
      <c r="B386" s="13">
        <v>6603</v>
      </c>
      <c r="C386" s="13">
        <v>92</v>
      </c>
    </row>
    <row r="387" spans="2:3" x14ac:dyDescent="0.3">
      <c r="B387" s="13">
        <v>2106</v>
      </c>
      <c r="C387" s="13">
        <v>93</v>
      </c>
    </row>
    <row r="388" spans="2:3" x14ac:dyDescent="0.3">
      <c r="B388" s="13">
        <v>7528</v>
      </c>
      <c r="C388" s="13">
        <v>93</v>
      </c>
    </row>
    <row r="389" spans="2:3" x14ac:dyDescent="0.3">
      <c r="B389" s="13">
        <v>267</v>
      </c>
      <c r="C389" s="13">
        <v>93</v>
      </c>
    </row>
    <row r="390" spans="2:3" x14ac:dyDescent="0.3">
      <c r="B390" s="13">
        <v>857</v>
      </c>
      <c r="C390" s="13">
        <v>93</v>
      </c>
    </row>
    <row r="391" spans="2:3" x14ac:dyDescent="0.3">
      <c r="B391" s="13">
        <v>3258</v>
      </c>
      <c r="C391" s="13">
        <v>94</v>
      </c>
    </row>
    <row r="392" spans="2:3" x14ac:dyDescent="0.3">
      <c r="B392" s="13">
        <v>7687</v>
      </c>
      <c r="C392" s="13">
        <v>94</v>
      </c>
    </row>
    <row r="393" spans="2:3" x14ac:dyDescent="0.3">
      <c r="B393" s="13">
        <v>169</v>
      </c>
      <c r="C393" s="13">
        <v>94</v>
      </c>
    </row>
    <row r="394" spans="2:3" x14ac:dyDescent="0.3">
      <c r="B394" s="13">
        <v>2508</v>
      </c>
      <c r="C394" s="13">
        <v>94</v>
      </c>
    </row>
    <row r="395" spans="2:3" x14ac:dyDescent="0.3">
      <c r="B395" s="13">
        <v>1235</v>
      </c>
      <c r="C395" s="13">
        <v>95</v>
      </c>
    </row>
    <row r="396" spans="2:3" x14ac:dyDescent="0.3">
      <c r="B396" s="13">
        <v>5884</v>
      </c>
      <c r="C396" s="13">
        <v>95</v>
      </c>
    </row>
    <row r="397" spans="2:3" x14ac:dyDescent="0.3">
      <c r="B397" s="13">
        <v>791</v>
      </c>
      <c r="C397" s="13">
        <v>95</v>
      </c>
    </row>
    <row r="398" spans="2:3" x14ac:dyDescent="0.3">
      <c r="B398" s="13">
        <v>4241</v>
      </c>
      <c r="C398" s="13">
        <v>95</v>
      </c>
    </row>
    <row r="399" spans="2:3" x14ac:dyDescent="0.3">
      <c r="B399" s="13">
        <v>7919</v>
      </c>
      <c r="C399" s="13">
        <v>95</v>
      </c>
    </row>
    <row r="400" spans="2:3" x14ac:dyDescent="0.3">
      <c r="B400" s="13">
        <v>4690</v>
      </c>
      <c r="C400" s="13">
        <v>95</v>
      </c>
    </row>
    <row r="401" spans="2:3" x14ac:dyDescent="0.3">
      <c r="B401" s="13">
        <v>3515</v>
      </c>
      <c r="C401" s="13">
        <v>95</v>
      </c>
    </row>
    <row r="402" spans="2:3" x14ac:dyDescent="0.3">
      <c r="B402" s="13">
        <v>5842</v>
      </c>
      <c r="C402" s="13">
        <v>96</v>
      </c>
    </row>
    <row r="403" spans="2:3" x14ac:dyDescent="0.3">
      <c r="B403" s="13">
        <v>64</v>
      </c>
      <c r="C403" s="13">
        <v>96</v>
      </c>
    </row>
    <row r="404" spans="2:3" x14ac:dyDescent="0.3">
      <c r="B404" s="13">
        <v>6844</v>
      </c>
      <c r="C404" s="13">
        <v>96</v>
      </c>
    </row>
    <row r="405" spans="2:3" x14ac:dyDescent="0.3">
      <c r="B405" s="13">
        <v>8881</v>
      </c>
      <c r="C405" s="13">
        <v>96</v>
      </c>
    </row>
    <row r="406" spans="2:3" x14ac:dyDescent="0.3">
      <c r="B406" s="13">
        <v>3217</v>
      </c>
      <c r="C406" s="13">
        <v>96</v>
      </c>
    </row>
    <row r="407" spans="2:3" x14ac:dyDescent="0.3">
      <c r="B407" s="13">
        <v>8635</v>
      </c>
      <c r="C407" s="13">
        <v>96</v>
      </c>
    </row>
    <row r="408" spans="2:3" x14ac:dyDescent="0.3">
      <c r="B408" s="13">
        <v>2352</v>
      </c>
      <c r="C408" s="13">
        <v>96</v>
      </c>
    </row>
    <row r="409" spans="2:3" x14ac:dyDescent="0.3">
      <c r="B409" s="13">
        <v>985</v>
      </c>
      <c r="C409" s="13">
        <v>97</v>
      </c>
    </row>
    <row r="410" spans="2:3" x14ac:dyDescent="0.3">
      <c r="B410" s="13">
        <v>7337</v>
      </c>
      <c r="C410" s="13">
        <v>97</v>
      </c>
    </row>
    <row r="411" spans="2:3" x14ac:dyDescent="0.3">
      <c r="B411" s="13">
        <v>8510</v>
      </c>
      <c r="C411" s="13">
        <v>97</v>
      </c>
    </row>
    <row r="412" spans="2:3" x14ac:dyDescent="0.3">
      <c r="B412" s="13">
        <v>8699</v>
      </c>
      <c r="C412" s="13">
        <v>97</v>
      </c>
    </row>
    <row r="413" spans="2:3" x14ac:dyDescent="0.3">
      <c r="B413" s="13">
        <v>5783</v>
      </c>
      <c r="C413" s="13">
        <v>97</v>
      </c>
    </row>
    <row r="414" spans="2:3" x14ac:dyDescent="0.3">
      <c r="B414" s="13">
        <v>5350</v>
      </c>
      <c r="C414" s="13">
        <v>97</v>
      </c>
    </row>
    <row r="415" spans="2:3" x14ac:dyDescent="0.3">
      <c r="B415" s="13">
        <v>854</v>
      </c>
      <c r="C415" s="13">
        <v>97</v>
      </c>
    </row>
    <row r="416" spans="2:3" x14ac:dyDescent="0.3">
      <c r="B416" s="13">
        <v>9170</v>
      </c>
      <c r="C416" s="13">
        <v>97</v>
      </c>
    </row>
    <row r="417" spans="2:3" x14ac:dyDescent="0.3">
      <c r="B417" s="13">
        <v>6454</v>
      </c>
      <c r="C417" s="13">
        <v>98</v>
      </c>
    </row>
    <row r="418" spans="2:3" x14ac:dyDescent="0.3">
      <c r="B418" s="13">
        <v>1180</v>
      </c>
      <c r="C418" s="13">
        <v>98</v>
      </c>
    </row>
    <row r="419" spans="2:3" x14ac:dyDescent="0.3">
      <c r="B419" s="13">
        <v>1797</v>
      </c>
      <c r="C419" s="13">
        <v>98</v>
      </c>
    </row>
    <row r="420" spans="2:3" x14ac:dyDescent="0.3">
      <c r="B420" s="13">
        <v>4759</v>
      </c>
      <c r="C420" s="13">
        <v>98</v>
      </c>
    </row>
    <row r="421" spans="2:3" x14ac:dyDescent="0.3">
      <c r="B421" s="13">
        <v>5964</v>
      </c>
      <c r="C421" s="13">
        <v>98</v>
      </c>
    </row>
    <row r="422" spans="2:3" x14ac:dyDescent="0.3">
      <c r="B422" s="13">
        <v>5496</v>
      </c>
      <c r="C422" s="13">
        <v>98</v>
      </c>
    </row>
    <row r="423" spans="2:3" x14ac:dyDescent="0.3">
      <c r="B423" s="13">
        <v>9569</v>
      </c>
      <c r="C423" s="13">
        <v>99</v>
      </c>
    </row>
    <row r="424" spans="2:3" x14ac:dyDescent="0.3">
      <c r="B424" s="13">
        <v>3332</v>
      </c>
      <c r="C424" s="13">
        <v>99</v>
      </c>
    </row>
    <row r="425" spans="2:3" x14ac:dyDescent="0.3">
      <c r="B425" s="13">
        <v>4707</v>
      </c>
      <c r="C425" s="13">
        <v>99</v>
      </c>
    </row>
    <row r="426" spans="2:3" x14ac:dyDescent="0.3">
      <c r="B426" s="13">
        <v>9604</v>
      </c>
      <c r="C426" s="13">
        <v>99</v>
      </c>
    </row>
    <row r="427" spans="2:3" x14ac:dyDescent="0.3">
      <c r="B427" s="13">
        <v>8722</v>
      </c>
      <c r="C427" s="13">
        <v>99</v>
      </c>
    </row>
    <row r="428" spans="2:3" x14ac:dyDescent="0.3">
      <c r="B428" s="13">
        <v>3449</v>
      </c>
      <c r="C428" s="13">
        <v>99</v>
      </c>
    </row>
    <row r="429" spans="2:3" x14ac:dyDescent="0.3">
      <c r="B429" s="13">
        <v>6068</v>
      </c>
      <c r="C429" s="13">
        <v>99</v>
      </c>
    </row>
    <row r="430" spans="2:3" x14ac:dyDescent="0.3">
      <c r="B430" s="13">
        <v>5753</v>
      </c>
      <c r="C430" s="13">
        <v>99</v>
      </c>
    </row>
    <row r="431" spans="2:3" x14ac:dyDescent="0.3">
      <c r="B431" s="13">
        <v>3480</v>
      </c>
      <c r="C431" s="13">
        <v>100</v>
      </c>
    </row>
    <row r="432" spans="2:3" x14ac:dyDescent="0.3">
      <c r="B432" s="13">
        <v>6203</v>
      </c>
      <c r="C432" s="13">
        <v>100</v>
      </c>
    </row>
    <row r="433" spans="2:3" x14ac:dyDescent="0.3">
      <c r="B433" s="13">
        <v>423</v>
      </c>
      <c r="C433" s="13">
        <v>100</v>
      </c>
    </row>
    <row r="434" spans="2:3" x14ac:dyDescent="0.3">
      <c r="B434" s="13">
        <v>9094</v>
      </c>
      <c r="C434" s="13">
        <v>101</v>
      </c>
    </row>
    <row r="435" spans="2:3" x14ac:dyDescent="0.3">
      <c r="B435" s="13">
        <v>4299</v>
      </c>
      <c r="C435" s="13">
        <v>101</v>
      </c>
    </row>
    <row r="436" spans="2:3" x14ac:dyDescent="0.3">
      <c r="B436" s="13">
        <v>447</v>
      </c>
      <c r="C436" s="13">
        <v>101</v>
      </c>
    </row>
    <row r="437" spans="2:3" x14ac:dyDescent="0.3">
      <c r="B437" s="13">
        <v>441</v>
      </c>
      <c r="C437" s="13">
        <v>101</v>
      </c>
    </row>
    <row r="438" spans="2:3" x14ac:dyDescent="0.3">
      <c r="B438" s="13">
        <v>6816</v>
      </c>
      <c r="C438" s="13">
        <v>102</v>
      </c>
    </row>
    <row r="439" spans="2:3" x14ac:dyDescent="0.3">
      <c r="B439" s="13">
        <v>938</v>
      </c>
      <c r="C439" s="13">
        <v>102</v>
      </c>
    </row>
    <row r="440" spans="2:3" x14ac:dyDescent="0.3">
      <c r="B440" s="13">
        <v>1906</v>
      </c>
      <c r="C440" s="13">
        <v>102</v>
      </c>
    </row>
    <row r="441" spans="2:3" x14ac:dyDescent="0.3">
      <c r="B441" s="13">
        <v>9592</v>
      </c>
      <c r="C441" s="13">
        <v>103</v>
      </c>
    </row>
    <row r="442" spans="2:3" x14ac:dyDescent="0.3">
      <c r="B442" s="13">
        <v>9459</v>
      </c>
      <c r="C442" s="13">
        <v>103</v>
      </c>
    </row>
    <row r="443" spans="2:3" x14ac:dyDescent="0.3">
      <c r="B443" s="13">
        <v>3449</v>
      </c>
      <c r="C443" s="13">
        <v>103</v>
      </c>
    </row>
    <row r="444" spans="2:3" x14ac:dyDescent="0.3">
      <c r="B444" s="13">
        <v>160</v>
      </c>
      <c r="C444" s="13">
        <v>104</v>
      </c>
    </row>
    <row r="445" spans="2:3" x14ac:dyDescent="0.3">
      <c r="B445" s="13">
        <v>2167</v>
      </c>
      <c r="C445" s="13">
        <v>104</v>
      </c>
    </row>
    <row r="446" spans="2:3" x14ac:dyDescent="0.3">
      <c r="B446" s="13">
        <v>9150</v>
      </c>
      <c r="C446" s="13">
        <v>104</v>
      </c>
    </row>
    <row r="447" spans="2:3" x14ac:dyDescent="0.3">
      <c r="B447" s="13">
        <v>7579</v>
      </c>
      <c r="C447" s="13">
        <v>105</v>
      </c>
    </row>
    <row r="448" spans="2:3" x14ac:dyDescent="0.3">
      <c r="B448" s="13">
        <v>7027</v>
      </c>
      <c r="C448" s="13">
        <v>105</v>
      </c>
    </row>
    <row r="449" spans="2:3" x14ac:dyDescent="0.3">
      <c r="B449" s="13">
        <v>1330</v>
      </c>
      <c r="C449" s="13">
        <v>105</v>
      </c>
    </row>
    <row r="450" spans="2:3" x14ac:dyDescent="0.3">
      <c r="B450" s="13">
        <v>5840</v>
      </c>
      <c r="C450" s="13">
        <v>105</v>
      </c>
    </row>
    <row r="451" spans="2:3" x14ac:dyDescent="0.3">
      <c r="B451" s="13">
        <v>9398</v>
      </c>
      <c r="C451" s="13">
        <v>106</v>
      </c>
    </row>
    <row r="452" spans="2:3" x14ac:dyDescent="0.3">
      <c r="B452" s="13">
        <v>6611</v>
      </c>
      <c r="C452" s="13">
        <v>107</v>
      </c>
    </row>
    <row r="453" spans="2:3" x14ac:dyDescent="0.3">
      <c r="B453" s="13">
        <v>7936</v>
      </c>
      <c r="C453" s="13">
        <v>107</v>
      </c>
    </row>
    <row r="454" spans="2:3" x14ac:dyDescent="0.3">
      <c r="B454" s="13">
        <v>4212</v>
      </c>
      <c r="C454" s="13">
        <v>108</v>
      </c>
    </row>
    <row r="455" spans="2:3" x14ac:dyDescent="0.3">
      <c r="B455" s="13">
        <v>4837</v>
      </c>
      <c r="C455" s="13">
        <v>108</v>
      </c>
    </row>
    <row r="456" spans="2:3" x14ac:dyDescent="0.3">
      <c r="B456" s="13">
        <v>9338</v>
      </c>
      <c r="C456" s="13">
        <v>109</v>
      </c>
    </row>
    <row r="457" spans="2:3" x14ac:dyDescent="0.3">
      <c r="B457" s="13">
        <v>7454</v>
      </c>
      <c r="C457" s="13">
        <v>109</v>
      </c>
    </row>
    <row r="458" spans="2:3" x14ac:dyDescent="0.3">
      <c r="B458" s="13">
        <v>9293</v>
      </c>
      <c r="C458" s="13">
        <v>110</v>
      </c>
    </row>
    <row r="459" spans="2:3" x14ac:dyDescent="0.3">
      <c r="B459" s="13">
        <v>281</v>
      </c>
      <c r="C459" s="13">
        <v>110</v>
      </c>
    </row>
    <row r="460" spans="2:3" x14ac:dyDescent="0.3">
      <c r="B460" s="13">
        <v>2060</v>
      </c>
      <c r="C460" s="13">
        <v>110</v>
      </c>
    </row>
    <row r="461" spans="2:3" x14ac:dyDescent="0.3">
      <c r="B461" s="13">
        <v>6856</v>
      </c>
      <c r="C461" s="13">
        <v>110</v>
      </c>
    </row>
    <row r="462" spans="2:3" x14ac:dyDescent="0.3">
      <c r="B462" s="13">
        <v>3717</v>
      </c>
      <c r="C462" s="13">
        <v>110</v>
      </c>
    </row>
    <row r="463" spans="2:3" x14ac:dyDescent="0.3">
      <c r="B463" s="13">
        <v>3021</v>
      </c>
      <c r="C463" s="13">
        <v>110</v>
      </c>
    </row>
    <row r="464" spans="2:3" x14ac:dyDescent="0.3">
      <c r="B464" s="13">
        <v>9727</v>
      </c>
      <c r="C464" s="13">
        <v>111</v>
      </c>
    </row>
    <row r="465" spans="2:3" x14ac:dyDescent="0.3">
      <c r="B465" s="13">
        <v>4314</v>
      </c>
      <c r="C465" s="13">
        <v>112</v>
      </c>
    </row>
    <row r="466" spans="2:3" x14ac:dyDescent="0.3">
      <c r="B466" s="13">
        <v>3691</v>
      </c>
      <c r="C466" s="13">
        <v>112</v>
      </c>
    </row>
    <row r="467" spans="2:3" x14ac:dyDescent="0.3">
      <c r="B467" s="13">
        <v>3557</v>
      </c>
      <c r="C467" s="13">
        <v>113</v>
      </c>
    </row>
    <row r="468" spans="2:3" x14ac:dyDescent="0.3">
      <c r="B468" s="13">
        <v>5958</v>
      </c>
      <c r="C468" s="13">
        <v>113</v>
      </c>
    </row>
    <row r="469" spans="2:3" x14ac:dyDescent="0.3">
      <c r="B469" s="13">
        <v>6447</v>
      </c>
      <c r="C469" s="13">
        <v>113</v>
      </c>
    </row>
    <row r="470" spans="2:3" x14ac:dyDescent="0.3">
      <c r="B470" s="13">
        <v>3736</v>
      </c>
      <c r="C470" s="13">
        <v>114</v>
      </c>
    </row>
    <row r="471" spans="2:3" x14ac:dyDescent="0.3">
      <c r="B471" s="13">
        <v>2916</v>
      </c>
      <c r="C471" s="13">
        <v>114</v>
      </c>
    </row>
    <row r="472" spans="2:3" x14ac:dyDescent="0.3">
      <c r="B472" s="13">
        <v>3966</v>
      </c>
      <c r="C472" s="13">
        <v>114</v>
      </c>
    </row>
    <row r="473" spans="2:3" x14ac:dyDescent="0.3">
      <c r="B473" s="13">
        <v>1887</v>
      </c>
      <c r="C473" s="13">
        <v>114</v>
      </c>
    </row>
    <row r="474" spans="2:3" x14ac:dyDescent="0.3">
      <c r="B474" s="13">
        <v>4500</v>
      </c>
      <c r="C474" s="13">
        <v>114</v>
      </c>
    </row>
    <row r="475" spans="2:3" x14ac:dyDescent="0.3">
      <c r="B475" s="13">
        <v>2271</v>
      </c>
      <c r="C475" s="13">
        <v>115</v>
      </c>
    </row>
    <row r="476" spans="2:3" x14ac:dyDescent="0.3">
      <c r="B476" s="13">
        <v>8709</v>
      </c>
      <c r="C476" s="13">
        <v>115</v>
      </c>
    </row>
    <row r="477" spans="2:3" x14ac:dyDescent="0.3">
      <c r="B477" s="13">
        <v>2808</v>
      </c>
      <c r="C477" s="13">
        <v>115</v>
      </c>
    </row>
    <row r="478" spans="2:3" x14ac:dyDescent="0.3">
      <c r="B478" s="13">
        <v>6041</v>
      </c>
      <c r="C478" s="13">
        <v>116</v>
      </c>
    </row>
    <row r="479" spans="2:3" x14ac:dyDescent="0.3">
      <c r="B479" s="13">
        <v>3921</v>
      </c>
      <c r="C479" s="13">
        <v>116</v>
      </c>
    </row>
    <row r="480" spans="2:3" x14ac:dyDescent="0.3">
      <c r="B480" s="13">
        <v>7475</v>
      </c>
      <c r="C480" s="13">
        <v>117</v>
      </c>
    </row>
    <row r="481" spans="2:3" x14ac:dyDescent="0.3">
      <c r="B481" s="13">
        <v>5959</v>
      </c>
      <c r="C481" s="13">
        <v>118</v>
      </c>
    </row>
    <row r="482" spans="2:3" x14ac:dyDescent="0.3">
      <c r="B482" s="13">
        <v>9949</v>
      </c>
      <c r="C482" s="13">
        <v>118</v>
      </c>
    </row>
    <row r="483" spans="2:3" x14ac:dyDescent="0.3">
      <c r="B483" s="13">
        <v>3996</v>
      </c>
      <c r="C483" s="13">
        <v>118</v>
      </c>
    </row>
    <row r="484" spans="2:3" x14ac:dyDescent="0.3">
      <c r="B484" s="13">
        <v>7484</v>
      </c>
      <c r="C484" s="13">
        <v>118</v>
      </c>
    </row>
    <row r="485" spans="2:3" x14ac:dyDescent="0.3">
      <c r="B485" s="13">
        <v>9868</v>
      </c>
      <c r="C485" s="13">
        <v>118</v>
      </c>
    </row>
    <row r="486" spans="2:3" x14ac:dyDescent="0.3">
      <c r="B486" s="13">
        <v>4724</v>
      </c>
      <c r="C486" s="13">
        <v>119</v>
      </c>
    </row>
    <row r="487" spans="2:3" x14ac:dyDescent="0.3">
      <c r="B487" s="13">
        <v>1814</v>
      </c>
      <c r="C487" s="13">
        <v>119</v>
      </c>
    </row>
    <row r="488" spans="2:3" x14ac:dyDescent="0.3">
      <c r="B488" s="13">
        <v>7126</v>
      </c>
      <c r="C488" s="13">
        <v>120</v>
      </c>
    </row>
    <row r="489" spans="2:3" x14ac:dyDescent="0.3">
      <c r="B489" s="13">
        <v>8327</v>
      </c>
      <c r="C489" s="13">
        <v>122</v>
      </c>
    </row>
    <row r="490" spans="2:3" x14ac:dyDescent="0.3">
      <c r="B490" s="13">
        <v>837</v>
      </c>
      <c r="C490" s="13">
        <v>123</v>
      </c>
    </row>
    <row r="491" spans="2:3" x14ac:dyDescent="0.3">
      <c r="B491" s="13">
        <v>5373</v>
      </c>
      <c r="C491" s="13">
        <v>123</v>
      </c>
    </row>
    <row r="492" spans="2:3" x14ac:dyDescent="0.3">
      <c r="B492" s="13">
        <v>8642</v>
      </c>
      <c r="C492" s="13">
        <v>124</v>
      </c>
    </row>
    <row r="493" spans="2:3" x14ac:dyDescent="0.3">
      <c r="B493" s="13">
        <v>5455</v>
      </c>
      <c r="C493" s="13">
        <v>124</v>
      </c>
    </row>
    <row r="494" spans="2:3" x14ac:dyDescent="0.3">
      <c r="B494" s="13">
        <v>1726</v>
      </c>
      <c r="C494" s="13">
        <v>124</v>
      </c>
    </row>
    <row r="495" spans="2:3" x14ac:dyDescent="0.3">
      <c r="B495" s="13">
        <v>6398</v>
      </c>
      <c r="C495" s="13">
        <v>124</v>
      </c>
    </row>
    <row r="496" spans="2:3" x14ac:dyDescent="0.3">
      <c r="B496" s="13">
        <v>7636</v>
      </c>
      <c r="C496" s="13">
        <v>124</v>
      </c>
    </row>
    <row r="497" spans="2:3" x14ac:dyDescent="0.3">
      <c r="B497" s="13">
        <v>3759</v>
      </c>
      <c r="C497" s="13">
        <v>125</v>
      </c>
    </row>
    <row r="498" spans="2:3" x14ac:dyDescent="0.3">
      <c r="B498" s="13">
        <v>7297</v>
      </c>
      <c r="C498" s="13">
        <v>126</v>
      </c>
    </row>
    <row r="499" spans="2:3" x14ac:dyDescent="0.3">
      <c r="B499" s="13">
        <v>8200</v>
      </c>
      <c r="C499" s="13">
        <v>126</v>
      </c>
    </row>
    <row r="500" spans="2:3" x14ac:dyDescent="0.3">
      <c r="B500" s="13">
        <v>7857</v>
      </c>
      <c r="C500" s="13">
        <v>126</v>
      </c>
    </row>
    <row r="501" spans="2:3" x14ac:dyDescent="0.3">
      <c r="B501" s="13">
        <v>211</v>
      </c>
      <c r="C501" s="13">
        <v>127</v>
      </c>
    </row>
    <row r="502" spans="2:3" x14ac:dyDescent="0.3">
      <c r="B502" s="13">
        <v>1849</v>
      </c>
      <c r="C502" s="13">
        <v>128</v>
      </c>
    </row>
    <row r="503" spans="2:3" x14ac:dyDescent="0.3">
      <c r="B503" s="13">
        <v>3116</v>
      </c>
      <c r="C503" s="13">
        <v>128</v>
      </c>
    </row>
    <row r="504" spans="2:3" x14ac:dyDescent="0.3">
      <c r="B504" s="13">
        <v>607</v>
      </c>
      <c r="C504" s="13">
        <v>128</v>
      </c>
    </row>
    <row r="505" spans="2:3" x14ac:dyDescent="0.3">
      <c r="B505" s="13">
        <v>864</v>
      </c>
      <c r="C505" s="13">
        <v>128</v>
      </c>
    </row>
    <row r="506" spans="2:3" x14ac:dyDescent="0.3">
      <c r="B506" s="13">
        <v>1940</v>
      </c>
      <c r="C506" s="13">
        <v>129</v>
      </c>
    </row>
    <row r="507" spans="2:3" x14ac:dyDescent="0.3">
      <c r="B507" s="13">
        <v>6309</v>
      </c>
      <c r="C507" s="13">
        <v>129</v>
      </c>
    </row>
    <row r="508" spans="2:3" x14ac:dyDescent="0.3">
      <c r="B508" s="13">
        <v>8948</v>
      </c>
      <c r="C508" s="13">
        <v>129</v>
      </c>
    </row>
    <row r="509" spans="2:3" x14ac:dyDescent="0.3">
      <c r="B509" s="13">
        <v>8245</v>
      </c>
      <c r="C509" s="13">
        <v>129</v>
      </c>
    </row>
    <row r="510" spans="2:3" x14ac:dyDescent="0.3">
      <c r="B510" s="13">
        <v>3558</v>
      </c>
      <c r="C510" s="13">
        <v>130</v>
      </c>
    </row>
    <row r="511" spans="2:3" x14ac:dyDescent="0.3">
      <c r="B511" s="13">
        <v>2438</v>
      </c>
      <c r="C511" s="13">
        <v>130</v>
      </c>
    </row>
    <row r="512" spans="2:3" x14ac:dyDescent="0.3">
      <c r="B512" s="13">
        <v>3818</v>
      </c>
      <c r="C512" s="13">
        <v>130</v>
      </c>
    </row>
    <row r="513" spans="2:3" x14ac:dyDescent="0.3">
      <c r="B513" s="13">
        <v>1258</v>
      </c>
      <c r="C513" s="13">
        <v>130</v>
      </c>
    </row>
    <row r="514" spans="2:3" x14ac:dyDescent="0.3">
      <c r="B514" s="13">
        <v>2226</v>
      </c>
      <c r="C514" s="13">
        <v>131</v>
      </c>
    </row>
    <row r="515" spans="2:3" x14ac:dyDescent="0.3">
      <c r="B515" s="13">
        <v>5823</v>
      </c>
      <c r="C515" s="13">
        <v>131</v>
      </c>
    </row>
    <row r="516" spans="2:3" x14ac:dyDescent="0.3">
      <c r="B516" s="13">
        <v>6191</v>
      </c>
      <c r="C516" s="13">
        <v>131</v>
      </c>
    </row>
    <row r="517" spans="2:3" x14ac:dyDescent="0.3">
      <c r="B517" s="13">
        <v>4506</v>
      </c>
      <c r="C517" s="13">
        <v>131</v>
      </c>
    </row>
    <row r="518" spans="2:3" x14ac:dyDescent="0.3">
      <c r="B518" s="13">
        <v>7352</v>
      </c>
      <c r="C518" s="13">
        <v>131</v>
      </c>
    </row>
    <row r="519" spans="2:3" x14ac:dyDescent="0.3">
      <c r="B519" s="13">
        <v>2847</v>
      </c>
      <c r="C519" s="13">
        <v>132</v>
      </c>
    </row>
    <row r="520" spans="2:3" x14ac:dyDescent="0.3">
      <c r="B520" s="13">
        <v>2286</v>
      </c>
      <c r="C520" s="13">
        <v>132</v>
      </c>
    </row>
    <row r="521" spans="2:3" x14ac:dyDescent="0.3">
      <c r="B521" s="13">
        <v>873</v>
      </c>
      <c r="C521" s="13">
        <v>132</v>
      </c>
    </row>
    <row r="522" spans="2:3" x14ac:dyDescent="0.3">
      <c r="B522" s="13">
        <v>125</v>
      </c>
      <c r="C522" s="13">
        <v>132</v>
      </c>
    </row>
    <row r="523" spans="2:3" x14ac:dyDescent="0.3">
      <c r="B523" s="13">
        <v>9569</v>
      </c>
      <c r="C523" s="13">
        <v>133</v>
      </c>
    </row>
    <row r="524" spans="2:3" x14ac:dyDescent="0.3">
      <c r="B524" s="13">
        <v>9930</v>
      </c>
      <c r="C524" s="13">
        <v>133</v>
      </c>
    </row>
    <row r="525" spans="2:3" x14ac:dyDescent="0.3">
      <c r="B525" s="13">
        <v>8577</v>
      </c>
      <c r="C525" s="13">
        <v>133</v>
      </c>
    </row>
    <row r="526" spans="2:3" x14ac:dyDescent="0.3">
      <c r="B526" s="13">
        <v>2852</v>
      </c>
      <c r="C526" s="13">
        <v>134</v>
      </c>
    </row>
    <row r="527" spans="2:3" x14ac:dyDescent="0.3">
      <c r="B527" s="13">
        <v>3170</v>
      </c>
      <c r="C527" s="13">
        <v>134</v>
      </c>
    </row>
    <row r="528" spans="2:3" x14ac:dyDescent="0.3">
      <c r="B528" s="13">
        <v>3664</v>
      </c>
      <c r="C528" s="13">
        <v>135</v>
      </c>
    </row>
    <row r="529" spans="2:3" x14ac:dyDescent="0.3">
      <c r="B529" s="13">
        <v>1658</v>
      </c>
      <c r="C529" s="13">
        <v>135</v>
      </c>
    </row>
    <row r="530" spans="2:3" x14ac:dyDescent="0.3">
      <c r="B530" s="13">
        <v>8414</v>
      </c>
      <c r="C530" s="13">
        <v>135</v>
      </c>
    </row>
    <row r="531" spans="2:3" x14ac:dyDescent="0.3">
      <c r="B531" s="13">
        <v>6507</v>
      </c>
      <c r="C531" s="13">
        <v>137</v>
      </c>
    </row>
    <row r="532" spans="2:3" x14ac:dyDescent="0.3">
      <c r="B532" s="13">
        <v>2981</v>
      </c>
      <c r="C532" s="13">
        <v>137</v>
      </c>
    </row>
    <row r="533" spans="2:3" x14ac:dyDescent="0.3">
      <c r="B533" s="13">
        <v>3883</v>
      </c>
      <c r="C533" s="13">
        <v>138</v>
      </c>
    </row>
    <row r="534" spans="2:3" x14ac:dyDescent="0.3">
      <c r="B534" s="13">
        <v>2961</v>
      </c>
      <c r="C534" s="13">
        <v>138</v>
      </c>
    </row>
    <row r="535" spans="2:3" x14ac:dyDescent="0.3">
      <c r="B535" s="13">
        <v>7615</v>
      </c>
      <c r="C535" s="13">
        <v>138</v>
      </c>
    </row>
    <row r="536" spans="2:3" x14ac:dyDescent="0.3">
      <c r="B536" s="13">
        <v>6705</v>
      </c>
      <c r="C536" s="13">
        <v>139</v>
      </c>
    </row>
    <row r="537" spans="2:3" x14ac:dyDescent="0.3">
      <c r="B537" s="13">
        <v>6419</v>
      </c>
      <c r="C537" s="13">
        <v>139</v>
      </c>
    </row>
    <row r="538" spans="2:3" x14ac:dyDescent="0.3">
      <c r="B538" s="13">
        <v>7093</v>
      </c>
      <c r="C538" s="13">
        <v>139</v>
      </c>
    </row>
    <row r="539" spans="2:3" x14ac:dyDescent="0.3">
      <c r="B539" s="13">
        <v>5512</v>
      </c>
      <c r="C539" s="13">
        <v>139</v>
      </c>
    </row>
    <row r="540" spans="2:3" x14ac:dyDescent="0.3">
      <c r="B540" s="13">
        <v>5827</v>
      </c>
      <c r="C540" s="13">
        <v>139</v>
      </c>
    </row>
    <row r="541" spans="2:3" x14ac:dyDescent="0.3">
      <c r="B541" s="13">
        <v>4593</v>
      </c>
      <c r="C541" s="13">
        <v>139</v>
      </c>
    </row>
    <row r="542" spans="2:3" x14ac:dyDescent="0.3">
      <c r="B542" s="13">
        <v>4813</v>
      </c>
      <c r="C542" s="13">
        <v>140</v>
      </c>
    </row>
    <row r="543" spans="2:3" x14ac:dyDescent="0.3">
      <c r="B543" s="13">
        <v>6651</v>
      </c>
      <c r="C543" s="13">
        <v>141</v>
      </c>
    </row>
    <row r="544" spans="2:3" x14ac:dyDescent="0.3">
      <c r="B544" s="13">
        <v>6201</v>
      </c>
      <c r="C544" s="13">
        <v>141</v>
      </c>
    </row>
    <row r="545" spans="2:3" x14ac:dyDescent="0.3">
      <c r="B545" s="13">
        <v>9456</v>
      </c>
      <c r="C545" s="13">
        <v>142</v>
      </c>
    </row>
    <row r="546" spans="2:3" x14ac:dyDescent="0.3">
      <c r="B546" s="13">
        <v>5884</v>
      </c>
      <c r="C546" s="13">
        <v>142</v>
      </c>
    </row>
    <row r="547" spans="2:3" x14ac:dyDescent="0.3">
      <c r="B547" s="13">
        <v>1882</v>
      </c>
      <c r="C547" s="13">
        <v>143</v>
      </c>
    </row>
    <row r="548" spans="2:3" x14ac:dyDescent="0.3">
      <c r="B548" s="13">
        <v>9716</v>
      </c>
      <c r="C548" s="13">
        <v>143</v>
      </c>
    </row>
    <row r="549" spans="2:3" x14ac:dyDescent="0.3">
      <c r="B549" s="13">
        <v>865</v>
      </c>
      <c r="C549" s="13">
        <v>143</v>
      </c>
    </row>
    <row r="550" spans="2:3" x14ac:dyDescent="0.3">
      <c r="B550" s="13">
        <v>9996</v>
      </c>
      <c r="C550" s="13">
        <v>144</v>
      </c>
    </row>
    <row r="551" spans="2:3" x14ac:dyDescent="0.3">
      <c r="B551" s="13">
        <v>2511</v>
      </c>
      <c r="C551" s="13">
        <v>145</v>
      </c>
    </row>
    <row r="552" spans="2:3" x14ac:dyDescent="0.3">
      <c r="B552" s="13">
        <v>5625</v>
      </c>
      <c r="C552" s="13">
        <v>145</v>
      </c>
    </row>
    <row r="553" spans="2:3" x14ac:dyDescent="0.3">
      <c r="B553" s="13">
        <v>3208</v>
      </c>
      <c r="C553" s="13">
        <v>145</v>
      </c>
    </row>
    <row r="554" spans="2:3" x14ac:dyDescent="0.3">
      <c r="B554" s="13">
        <v>7807</v>
      </c>
      <c r="C554" s="13">
        <v>146</v>
      </c>
    </row>
    <row r="555" spans="2:3" x14ac:dyDescent="0.3">
      <c r="B555" s="13">
        <v>8051</v>
      </c>
      <c r="C555" s="13">
        <v>146</v>
      </c>
    </row>
    <row r="556" spans="2:3" x14ac:dyDescent="0.3">
      <c r="B556" s="13">
        <v>9508</v>
      </c>
      <c r="C556" s="13">
        <v>147</v>
      </c>
    </row>
    <row r="557" spans="2:3" x14ac:dyDescent="0.3">
      <c r="B557" s="13">
        <v>4270</v>
      </c>
      <c r="C557" s="13">
        <v>147</v>
      </c>
    </row>
    <row r="558" spans="2:3" x14ac:dyDescent="0.3">
      <c r="B558" s="13">
        <v>2472</v>
      </c>
      <c r="C558" s="13">
        <v>147</v>
      </c>
    </row>
    <row r="559" spans="2:3" x14ac:dyDescent="0.3">
      <c r="B559" s="13">
        <v>6442</v>
      </c>
      <c r="C559" s="13">
        <v>148</v>
      </c>
    </row>
    <row r="560" spans="2:3" x14ac:dyDescent="0.3">
      <c r="B560" s="13">
        <v>3050</v>
      </c>
      <c r="C560" s="13">
        <v>148</v>
      </c>
    </row>
    <row r="561" spans="2:3" x14ac:dyDescent="0.3">
      <c r="B561" s="13">
        <v>9036</v>
      </c>
      <c r="C561" s="13">
        <v>148</v>
      </c>
    </row>
    <row r="562" spans="2:3" x14ac:dyDescent="0.3">
      <c r="B562" s="13">
        <v>2570</v>
      </c>
      <c r="C562" s="13">
        <v>148</v>
      </c>
    </row>
    <row r="563" spans="2:3" x14ac:dyDescent="0.3">
      <c r="B563" s="13">
        <v>8086</v>
      </c>
      <c r="C563" s="13">
        <v>149</v>
      </c>
    </row>
    <row r="564" spans="2:3" x14ac:dyDescent="0.3">
      <c r="B564" s="13">
        <v>9418</v>
      </c>
      <c r="C564" s="13">
        <v>149</v>
      </c>
    </row>
    <row r="565" spans="2:3" x14ac:dyDescent="0.3">
      <c r="B565" s="13">
        <v>6974</v>
      </c>
      <c r="C565" s="13">
        <v>150</v>
      </c>
    </row>
    <row r="566" spans="2:3" x14ac:dyDescent="0.3">
      <c r="B566" s="13">
        <v>7115</v>
      </c>
      <c r="C566" s="13">
        <v>150</v>
      </c>
    </row>
    <row r="567" spans="2:3" x14ac:dyDescent="0.3">
      <c r="B567" s="13">
        <v>6768</v>
      </c>
      <c r="C567" s="13">
        <v>150</v>
      </c>
    </row>
  </sheetData>
  <sortState xmlns:xlrd2="http://schemas.microsoft.com/office/spreadsheetml/2017/richdata2" ref="B3:C567">
    <sortCondition ref="C3:C56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814C-23FD-4ECB-BF5C-792C7FE85655}">
  <dimension ref="B2:Z67"/>
  <sheetViews>
    <sheetView topLeftCell="I15" workbookViewId="0">
      <selection activeCell="V40" sqref="V40"/>
    </sheetView>
  </sheetViews>
  <sheetFormatPr defaultColWidth="11.77734375" defaultRowHeight="14.4" x14ac:dyDescent="0.3"/>
  <cols>
    <col min="1" max="1" width="2.109375" customWidth="1"/>
    <col min="2" max="2" width="12.44140625" customWidth="1"/>
    <col min="3" max="4" width="17.88671875" customWidth="1"/>
    <col min="5" max="5" width="3" customWidth="1"/>
    <col min="6" max="6" width="11.77734375" bestFit="1" customWidth="1"/>
    <col min="7" max="8" width="17.44140625" bestFit="1" customWidth="1"/>
    <col min="10" max="10" width="9.77734375" bestFit="1" customWidth="1"/>
    <col min="11" max="11" width="10.109375" bestFit="1" customWidth="1"/>
    <col min="12" max="12" width="17.77734375" customWidth="1"/>
    <col min="14" max="24" width="11.77734375" customWidth="1"/>
  </cols>
  <sheetData>
    <row r="2" spans="2:2" x14ac:dyDescent="0.3">
      <c r="B2" s="11" t="s">
        <v>28</v>
      </c>
    </row>
    <row r="3" spans="2:2" x14ac:dyDescent="0.3">
      <c r="B3" s="6" t="s">
        <v>31</v>
      </c>
    </row>
    <row r="4" spans="2:2" x14ac:dyDescent="0.3">
      <c r="B4" s="6"/>
    </row>
    <row r="5" spans="2:2" x14ac:dyDescent="0.3">
      <c r="B5" s="6" t="s">
        <v>35</v>
      </c>
    </row>
    <row r="6" spans="2:2" x14ac:dyDescent="0.3">
      <c r="B6" s="14" t="s">
        <v>38</v>
      </c>
    </row>
    <row r="7" spans="2:2" x14ac:dyDescent="0.3">
      <c r="B7" s="14" t="s">
        <v>40</v>
      </c>
    </row>
    <row r="8" spans="2:2" x14ac:dyDescent="0.3">
      <c r="B8" s="14" t="s">
        <v>41</v>
      </c>
    </row>
    <row r="9" spans="2:2" x14ac:dyDescent="0.3">
      <c r="B9" s="14"/>
    </row>
    <row r="10" spans="2:2" x14ac:dyDescent="0.3">
      <c r="B10" s="6" t="s">
        <v>37</v>
      </c>
    </row>
    <row r="11" spans="2:2" x14ac:dyDescent="0.3">
      <c r="B11" s="14" t="s">
        <v>38</v>
      </c>
    </row>
    <row r="12" spans="2:2" x14ac:dyDescent="0.3">
      <c r="B12" s="14" t="s">
        <v>39</v>
      </c>
    </row>
    <row r="13" spans="2:2" x14ac:dyDescent="0.3">
      <c r="B13" s="14" t="s">
        <v>42</v>
      </c>
    </row>
    <row r="14" spans="2:2" x14ac:dyDescent="0.3">
      <c r="B14" s="11"/>
    </row>
    <row r="15" spans="2:2" x14ac:dyDescent="0.3">
      <c r="B15" s="11" t="s">
        <v>30</v>
      </c>
    </row>
    <row r="16" spans="2:2" x14ac:dyDescent="0.3">
      <c r="B16" s="6" t="s">
        <v>43</v>
      </c>
    </row>
    <row r="17" spans="2:26" x14ac:dyDescent="0.3">
      <c r="B17" s="6" t="s">
        <v>44</v>
      </c>
    </row>
    <row r="18" spans="2:26" x14ac:dyDescent="0.3">
      <c r="B18" s="16" t="s">
        <v>45</v>
      </c>
    </row>
    <row r="20" spans="2:26" x14ac:dyDescent="0.3">
      <c r="B20" s="1" t="s">
        <v>29</v>
      </c>
      <c r="F20" s="1" t="s">
        <v>36</v>
      </c>
      <c r="N20" s="48" t="s">
        <v>21</v>
      </c>
    </row>
    <row r="22" spans="2:26" x14ac:dyDescent="0.3">
      <c r="B22" s="3" t="s">
        <v>27</v>
      </c>
      <c r="C22" s="3" t="s">
        <v>33</v>
      </c>
      <c r="D22" s="3" t="s">
        <v>34</v>
      </c>
      <c r="F22" t="s">
        <v>27</v>
      </c>
      <c r="G22" s="3" t="s">
        <v>32</v>
      </c>
      <c r="H22" s="3" t="s">
        <v>67</v>
      </c>
      <c r="J22" s="25" t="s">
        <v>27</v>
      </c>
      <c r="K22" s="35" t="s">
        <v>80</v>
      </c>
      <c r="L22" s="36" t="s">
        <v>79</v>
      </c>
      <c r="N22" s="86" t="s">
        <v>84</v>
      </c>
      <c r="O22" s="86"/>
      <c r="P22" s="86"/>
      <c r="Q22" s="86"/>
      <c r="R22" s="86"/>
    </row>
    <row r="23" spans="2:26" x14ac:dyDescent="0.3">
      <c r="B23" s="3">
        <v>1</v>
      </c>
      <c r="C23" s="12">
        <v>46268.125</v>
      </c>
      <c r="D23" s="12">
        <v>46268.133796296293</v>
      </c>
      <c r="F23" s="3">
        <v>1</v>
      </c>
      <c r="G23" s="15">
        <v>0.125</v>
      </c>
      <c r="H23" s="15">
        <v>0.13541666666666666</v>
      </c>
      <c r="J23" s="37">
        <v>1</v>
      </c>
      <c r="K23" s="27">
        <v>46268</v>
      </c>
      <c r="L23" s="32">
        <f>D23-C23</f>
        <v>8.7962962934398092E-3</v>
      </c>
      <c r="N23" s="24"/>
      <c r="O23" s="83">
        <v>46268</v>
      </c>
      <c r="P23" s="84"/>
      <c r="Q23" s="84"/>
      <c r="R23" s="85"/>
      <c r="S23" s="83">
        <v>46275</v>
      </c>
      <c r="T23" s="84"/>
      <c r="U23" s="84"/>
      <c r="V23" s="85"/>
      <c r="W23" s="83">
        <v>46282</v>
      </c>
      <c r="X23" s="84"/>
      <c r="Y23" s="84"/>
      <c r="Z23" s="85"/>
    </row>
    <row r="24" spans="2:26" x14ac:dyDescent="0.3">
      <c r="B24" s="3">
        <v>2</v>
      </c>
      <c r="C24" s="12">
        <v>46268.131944444445</v>
      </c>
      <c r="D24" s="12">
        <v>46268.138252314813</v>
      </c>
      <c r="F24" s="3">
        <v>2</v>
      </c>
      <c r="G24" s="15">
        <v>0.13194444444444445</v>
      </c>
      <c r="H24" s="15">
        <v>0.13773148148148148</v>
      </c>
      <c r="J24" s="37">
        <v>2</v>
      </c>
      <c r="K24" s="27">
        <v>46268</v>
      </c>
      <c r="L24" s="32">
        <f>D24-C24</f>
        <v>6.3078703678911552E-3</v>
      </c>
      <c r="N24" s="26" t="s">
        <v>27</v>
      </c>
      <c r="O24" s="44" t="s">
        <v>7</v>
      </c>
      <c r="P24" s="28" t="s">
        <v>77</v>
      </c>
      <c r="Q24" s="29" t="s">
        <v>81</v>
      </c>
      <c r="R24" s="42" t="s">
        <v>82</v>
      </c>
      <c r="S24" s="44" t="s">
        <v>7</v>
      </c>
      <c r="T24" s="28" t="s">
        <v>77</v>
      </c>
      <c r="U24" s="29" t="s">
        <v>78</v>
      </c>
      <c r="V24" s="42" t="s">
        <v>82</v>
      </c>
      <c r="W24" s="27" t="s">
        <v>7</v>
      </c>
      <c r="X24" s="28" t="s">
        <v>77</v>
      </c>
      <c r="Y24" s="29" t="s">
        <v>78</v>
      </c>
      <c r="Z24" s="42" t="s">
        <v>82</v>
      </c>
    </row>
    <row r="25" spans="2:26" x14ac:dyDescent="0.3">
      <c r="B25" s="3">
        <v>3</v>
      </c>
      <c r="C25" s="12">
        <v>46268.129861111112</v>
      </c>
      <c r="D25" s="12">
        <v>46268.134571759256</v>
      </c>
      <c r="F25" s="3">
        <v>3</v>
      </c>
      <c r="G25" s="15">
        <v>0.12986111111111112</v>
      </c>
      <c r="H25" s="15">
        <v>0.13217592592592595</v>
      </c>
      <c r="J25" s="37">
        <v>3</v>
      </c>
      <c r="K25" s="27">
        <v>46268</v>
      </c>
      <c r="L25" s="32">
        <f t="shared" ref="L25:L43" si="0">D25-C25</f>
        <v>4.7106481433729641E-3</v>
      </c>
      <c r="N25" s="26">
        <v>1</v>
      </c>
      <c r="O25" s="45">
        <f t="shared" ref="O25:O31" si="1">L23</f>
        <v>8.7962962934398092E-3</v>
      </c>
      <c r="P25" s="31">
        <f t="shared" ref="P25:P31" si="2">H23-G23</f>
        <v>1.0416666666666657E-2</v>
      </c>
      <c r="Q25" s="40" t="str">
        <f>IF(O25&gt;=P25,TEXT(O25-P25,"чч:мм:сс"),"-"&amp;TEXT(P25-O25,"чч:мм:сс"))</f>
        <v>-00:02:20</v>
      </c>
      <c r="R25" s="61">
        <f>((O25-P25)*86400) / (P25 * 86400)</f>
        <v>-0.15555555582977756</v>
      </c>
      <c r="S25" s="45">
        <f t="shared" ref="S25:S31" si="3">L30</f>
        <v>7.662037038244307E-3</v>
      </c>
      <c r="T25" s="31">
        <f>X25</f>
        <v>1.0416666666666657E-2</v>
      </c>
      <c r="U25" s="40" t="str">
        <f>IF(S25&gt;=T25,TEXT(S25-T25,"чч:мм:сс"),"-"&amp;TEXT(T25-S25,"чч:мм:сс"))</f>
        <v>-00:03:58</v>
      </c>
      <c r="V25" s="61">
        <f>((S25-T25)*86400) / (T25 * 86400)</f>
        <v>-0.26444444432854586</v>
      </c>
      <c r="W25" s="31">
        <f t="shared" ref="W25:W31" si="4">L37</f>
        <v>7.2337962992605753E-3</v>
      </c>
      <c r="X25" s="31">
        <f t="shared" ref="X25:X31" si="5">H23-G23</f>
        <v>1.0416666666666657E-2</v>
      </c>
      <c r="Y25" s="40" t="str">
        <f>IF(W25&gt;=X25,TEXT(W25-X25,"чч:мм:сс"),"-"&amp;TEXT(X25-W25,"чч:мм:сс"))</f>
        <v>-00:04:35</v>
      </c>
      <c r="Z25" s="61">
        <f>((W25-X25)*86400) / (X25 * 86400)</f>
        <v>-0.30555555527098416</v>
      </c>
    </row>
    <row r="26" spans="2:26" x14ac:dyDescent="0.3">
      <c r="B26" s="3">
        <v>4</v>
      </c>
      <c r="C26" s="12">
        <v>46268.170138888891</v>
      </c>
      <c r="D26" s="12">
        <v>46268.17260416667</v>
      </c>
      <c r="F26" s="3">
        <v>4</v>
      </c>
      <c r="G26" s="15">
        <v>0.17013888888888887</v>
      </c>
      <c r="H26" s="15">
        <v>0.17476851851851849</v>
      </c>
      <c r="J26" s="37">
        <v>4</v>
      </c>
      <c r="K26" s="27">
        <v>46268</v>
      </c>
      <c r="L26" s="32">
        <f t="shared" si="0"/>
        <v>2.4652777792653069E-3</v>
      </c>
      <c r="N26" s="26">
        <v>2</v>
      </c>
      <c r="O26" s="45">
        <f t="shared" si="1"/>
        <v>6.3078703678911552E-3</v>
      </c>
      <c r="P26" s="31">
        <f t="shared" si="2"/>
        <v>5.787037037037035E-3</v>
      </c>
      <c r="Q26" s="40" t="str">
        <f t="shared" ref="Q26:Q31" si="6">IF(O26&gt;=P26,TEXT(O26-P26,"чч:мм:сс"),"-"&amp;TEXT(P26-O26,"чч:мм:сс"))</f>
        <v>00:00:45</v>
      </c>
      <c r="R26" s="61">
        <f t="shared" ref="R26:R31" si="7">((O26-P26)*86400) / (P26 * 86400)</f>
        <v>8.9999999571592007E-2</v>
      </c>
      <c r="S26" s="45">
        <f t="shared" si="3"/>
        <v>4.9305555512546562E-3</v>
      </c>
      <c r="T26" s="31">
        <f t="shared" ref="T26:T31" si="8">H24-G24</f>
        <v>5.787037037037035E-3</v>
      </c>
      <c r="U26" s="40" t="str">
        <f t="shared" ref="U26:U31" si="9">IF(S26&gt;=T26,TEXT(S26-T26,"чч:мм:сс"),"-"&amp;TEXT(T26-S26,"чч:мм:сс"))</f>
        <v>-00:01:14</v>
      </c>
      <c r="V26" s="61">
        <f t="shared" ref="V26:V31" si="10">((S26-T26)*86400) / (T26 * 86400)</f>
        <v>-0.14800000074319514</v>
      </c>
      <c r="W26" s="31">
        <f t="shared" si="4"/>
        <v>5.9490740750334226E-3</v>
      </c>
      <c r="X26" s="31">
        <f t="shared" si="5"/>
        <v>5.787037037037035E-3</v>
      </c>
      <c r="Y26" s="40" t="str">
        <f t="shared" ref="Y26:Y31" si="11">IF(W26&gt;=X26,TEXT(W26-X26,"чч:мм:сс"),"-"&amp;TEXT(X26-W26,"чч:мм:сс"))</f>
        <v>00:00:14</v>
      </c>
      <c r="Z26" s="61">
        <f t="shared" ref="Z26:Z31" si="12">((W26-X26)*86400) / (X26 * 86400)</f>
        <v>2.8000000165775783E-2</v>
      </c>
    </row>
    <row r="27" spans="2:26" x14ac:dyDescent="0.3">
      <c r="B27" s="3">
        <v>5</v>
      </c>
      <c r="C27" s="12">
        <v>46268.177083333336</v>
      </c>
      <c r="D27" s="12">
        <v>46268.195208333331</v>
      </c>
      <c r="F27" s="3">
        <v>5</v>
      </c>
      <c r="G27" s="15">
        <v>0.17708333333333334</v>
      </c>
      <c r="H27" s="15">
        <v>0.18865740740740741</v>
      </c>
      <c r="J27" s="37">
        <v>5</v>
      </c>
      <c r="K27" s="27">
        <v>46268</v>
      </c>
      <c r="L27" s="32">
        <f t="shared" si="0"/>
        <v>1.8124999995052349E-2</v>
      </c>
      <c r="N27" s="26">
        <v>3</v>
      </c>
      <c r="O27" s="45">
        <f t="shared" si="1"/>
        <v>4.7106481433729641E-3</v>
      </c>
      <c r="P27" s="31">
        <f t="shared" si="2"/>
        <v>2.3148148148148251E-3</v>
      </c>
      <c r="Q27" s="40" t="str">
        <f t="shared" si="6"/>
        <v>00:03:27</v>
      </c>
      <c r="R27" s="61">
        <f t="shared" si="7"/>
        <v>1.0349999979371116</v>
      </c>
      <c r="S27" s="45">
        <f t="shared" si="3"/>
        <v>2.6041666642413475E-3</v>
      </c>
      <c r="T27" s="31">
        <f t="shared" si="8"/>
        <v>2.3148148148148251E-3</v>
      </c>
      <c r="U27" s="40" t="str">
        <f t="shared" si="9"/>
        <v>00:00:25</v>
      </c>
      <c r="V27" s="61">
        <f t="shared" si="10"/>
        <v>0.12499999895225711</v>
      </c>
      <c r="W27" s="31">
        <f t="shared" si="4"/>
        <v>3.6689814805868082E-3</v>
      </c>
      <c r="X27" s="31">
        <f t="shared" si="5"/>
        <v>2.3148148148148251E-3</v>
      </c>
      <c r="Y27" s="40" t="str">
        <f t="shared" si="11"/>
        <v>00:01:57</v>
      </c>
      <c r="Z27" s="61">
        <f t="shared" si="12"/>
        <v>0.58499999961349414</v>
      </c>
    </row>
    <row r="28" spans="2:26" x14ac:dyDescent="0.3">
      <c r="B28" s="3">
        <v>6</v>
      </c>
      <c r="C28" s="12">
        <v>46268.145833333336</v>
      </c>
      <c r="D28" s="12">
        <v>46268.149247685185</v>
      </c>
      <c r="F28" s="3">
        <v>6</v>
      </c>
      <c r="G28" s="15">
        <v>0.14583333333333334</v>
      </c>
      <c r="H28" s="15">
        <v>0.14930555555555555</v>
      </c>
      <c r="J28" s="37">
        <v>6</v>
      </c>
      <c r="K28" s="27">
        <v>46268</v>
      </c>
      <c r="L28" s="32">
        <f t="shared" si="0"/>
        <v>3.4143518496421166E-3</v>
      </c>
      <c r="N28" s="26">
        <v>4</v>
      </c>
      <c r="O28" s="45">
        <f t="shared" si="1"/>
        <v>2.4652777792653069E-3</v>
      </c>
      <c r="P28" s="31">
        <f t="shared" si="2"/>
        <v>4.6296296296296224E-3</v>
      </c>
      <c r="Q28" s="40" t="str">
        <f t="shared" si="6"/>
        <v>-00:03:07</v>
      </c>
      <c r="R28" s="61">
        <f t="shared" si="7"/>
        <v>-0.46749999967869288</v>
      </c>
      <c r="S28" s="45">
        <f t="shared" si="3"/>
        <v>1.0659722218406387E-2</v>
      </c>
      <c r="T28" s="31">
        <f t="shared" si="8"/>
        <v>4.6296296296296224E-3</v>
      </c>
      <c r="U28" s="40" t="str">
        <f t="shared" si="9"/>
        <v>00:08:41</v>
      </c>
      <c r="V28" s="61">
        <f t="shared" si="10"/>
        <v>1.3024999991757831</v>
      </c>
      <c r="W28" s="31">
        <f t="shared" si="4"/>
        <v>1.0057870371383615E-2</v>
      </c>
      <c r="X28" s="31">
        <f t="shared" si="5"/>
        <v>4.6296296296296224E-3</v>
      </c>
      <c r="Y28" s="40" t="str">
        <f t="shared" si="11"/>
        <v>00:07:49</v>
      </c>
      <c r="Z28" s="61">
        <f t="shared" si="12"/>
        <v>1.1725000002188641</v>
      </c>
    </row>
    <row r="29" spans="2:26" x14ac:dyDescent="0.3">
      <c r="B29" s="3">
        <v>7</v>
      </c>
      <c r="C29" s="12">
        <v>46268.15625</v>
      </c>
      <c r="D29" s="12">
        <v>46268.168275462966</v>
      </c>
      <c r="F29" s="3">
        <v>7</v>
      </c>
      <c r="G29" s="15">
        <v>0.15625</v>
      </c>
      <c r="H29" s="15">
        <v>0.16435185185185186</v>
      </c>
      <c r="J29" s="37">
        <v>7</v>
      </c>
      <c r="K29" s="27">
        <v>46268</v>
      </c>
      <c r="L29" s="32">
        <f t="shared" si="0"/>
        <v>1.2025462965539191E-2</v>
      </c>
      <c r="N29" s="26">
        <v>5</v>
      </c>
      <c r="O29" s="45">
        <f t="shared" si="1"/>
        <v>1.8124999995052349E-2</v>
      </c>
      <c r="P29" s="31">
        <f t="shared" si="2"/>
        <v>1.157407407407407E-2</v>
      </c>
      <c r="Q29" s="40" t="str">
        <f t="shared" si="6"/>
        <v>00:09:26</v>
      </c>
      <c r="R29" s="61">
        <f t="shared" si="7"/>
        <v>0.56599999957252345</v>
      </c>
      <c r="S29" s="45">
        <f t="shared" si="3"/>
        <v>1.1296296295768116E-2</v>
      </c>
      <c r="T29" s="31">
        <f t="shared" si="8"/>
        <v>1.157407407407407E-2</v>
      </c>
      <c r="U29" s="40" t="str">
        <f t="shared" si="9"/>
        <v>-00:00:24</v>
      </c>
      <c r="V29" s="61">
        <f t="shared" si="10"/>
        <v>-2.4000000045634459E-2</v>
      </c>
      <c r="W29" s="31">
        <f t="shared" si="4"/>
        <v>1.1562499996216502E-2</v>
      </c>
      <c r="X29" s="31">
        <f t="shared" si="5"/>
        <v>1.157407407407407E-2</v>
      </c>
      <c r="Y29" s="40" t="str">
        <f t="shared" si="11"/>
        <v>-00:00:01</v>
      </c>
      <c r="Z29" s="61">
        <f t="shared" si="12"/>
        <v>-1.0000003268938688E-3</v>
      </c>
    </row>
    <row r="30" spans="2:26" x14ac:dyDescent="0.3">
      <c r="B30" s="3">
        <v>1</v>
      </c>
      <c r="C30" s="12">
        <v>46275.125</v>
      </c>
      <c r="D30" s="12">
        <v>46275.132662037038</v>
      </c>
      <c r="F30" s="3"/>
      <c r="G30" s="3"/>
      <c r="H30" s="3"/>
      <c r="J30" s="37">
        <v>1</v>
      </c>
      <c r="K30" s="27">
        <v>46275</v>
      </c>
      <c r="L30" s="32">
        <f t="shared" si="0"/>
        <v>7.662037038244307E-3</v>
      </c>
      <c r="N30" s="26">
        <v>6</v>
      </c>
      <c r="O30" s="45">
        <f t="shared" si="1"/>
        <v>3.4143518496421166E-3</v>
      </c>
      <c r="P30" s="31">
        <f t="shared" si="2"/>
        <v>3.4722222222222099E-3</v>
      </c>
      <c r="Q30" s="40" t="str">
        <f t="shared" si="6"/>
        <v>-00:00:05</v>
      </c>
      <c r="R30" s="61">
        <f t="shared" si="7"/>
        <v>-1.6666667303066932E-2</v>
      </c>
      <c r="S30" s="45">
        <f t="shared" si="3"/>
        <v>1.782407402060926E-3</v>
      </c>
      <c r="T30" s="31">
        <f t="shared" si="8"/>
        <v>3.4722222222222099E-3</v>
      </c>
      <c r="U30" s="40" t="str">
        <f t="shared" si="9"/>
        <v>-00:02:26</v>
      </c>
      <c r="V30" s="61">
        <f t="shared" si="10"/>
        <v>-0.48666666820645149</v>
      </c>
      <c r="W30" s="31">
        <f t="shared" si="4"/>
        <v>9.9189814791316167E-3</v>
      </c>
      <c r="X30" s="31">
        <f t="shared" si="5"/>
        <v>3.4722222222222099E-3</v>
      </c>
      <c r="Y30" s="40" t="str">
        <f t="shared" si="11"/>
        <v>00:09:17</v>
      </c>
      <c r="Z30" s="61">
        <f t="shared" si="12"/>
        <v>1.8566666659899156</v>
      </c>
    </row>
    <row r="31" spans="2:26" x14ac:dyDescent="0.3">
      <c r="B31" s="3">
        <v>2</v>
      </c>
      <c r="C31" s="12">
        <v>46275.131944444445</v>
      </c>
      <c r="D31" s="12">
        <v>46275.136874999997</v>
      </c>
      <c r="G31" s="3"/>
      <c r="H31" s="3"/>
      <c r="J31" s="37">
        <v>2</v>
      </c>
      <c r="K31" s="27">
        <v>46275</v>
      </c>
      <c r="L31" s="32">
        <f t="shared" si="0"/>
        <v>4.9305555512546562E-3</v>
      </c>
      <c r="N31" s="30">
        <v>7</v>
      </c>
      <c r="O31" s="46">
        <f t="shared" si="1"/>
        <v>1.2025462965539191E-2</v>
      </c>
      <c r="P31" s="33">
        <f t="shared" si="2"/>
        <v>8.1018518518518601E-3</v>
      </c>
      <c r="Q31" s="43" t="str">
        <f t="shared" si="6"/>
        <v>00:05:39</v>
      </c>
      <c r="R31" s="62">
        <f t="shared" si="7"/>
        <v>0.48428571460369296</v>
      </c>
      <c r="S31" s="46">
        <f t="shared" si="3"/>
        <v>9.9421296326909214E-3</v>
      </c>
      <c r="T31" s="33">
        <f t="shared" si="8"/>
        <v>8.1018518518518601E-3</v>
      </c>
      <c r="U31" s="43" t="str">
        <f t="shared" si="9"/>
        <v>00:02:39</v>
      </c>
      <c r="V31" s="62">
        <f t="shared" si="10"/>
        <v>0.22714285752070679</v>
      </c>
      <c r="W31" s="33">
        <f t="shared" si="4"/>
        <v>1.0428240741021E-2</v>
      </c>
      <c r="X31" s="33">
        <f t="shared" si="5"/>
        <v>8.1018518518518601E-3</v>
      </c>
      <c r="Y31" s="43" t="str">
        <f t="shared" si="11"/>
        <v>00:03:21</v>
      </c>
      <c r="Z31" s="62">
        <f t="shared" si="12"/>
        <v>0.28714285717744781</v>
      </c>
    </row>
    <row r="32" spans="2:26" x14ac:dyDescent="0.3">
      <c r="B32" s="3">
        <v>3</v>
      </c>
      <c r="C32" s="12">
        <v>46275.129861111112</v>
      </c>
      <c r="D32" s="12">
        <v>46275.132465277777</v>
      </c>
      <c r="G32" s="3"/>
      <c r="H32" s="3"/>
      <c r="J32" s="37">
        <v>3</v>
      </c>
      <c r="K32" s="27">
        <v>46275</v>
      </c>
      <c r="L32" s="32">
        <f t="shared" si="0"/>
        <v>2.6041666642413475E-3</v>
      </c>
    </row>
    <row r="33" spans="2:18" x14ac:dyDescent="0.3">
      <c r="B33" s="3">
        <v>4</v>
      </c>
      <c r="C33" s="12">
        <v>46275.170138888891</v>
      </c>
      <c r="D33" s="12">
        <v>46275.180798611109</v>
      </c>
      <c r="G33" s="3"/>
      <c r="H33" s="3"/>
      <c r="J33" s="37">
        <v>4</v>
      </c>
      <c r="K33" s="27">
        <v>46275</v>
      </c>
      <c r="L33" s="32">
        <f t="shared" si="0"/>
        <v>1.0659722218406387E-2</v>
      </c>
      <c r="N33" s="48" t="s">
        <v>22</v>
      </c>
    </row>
    <row r="34" spans="2:18" x14ac:dyDescent="0.3">
      <c r="B34" s="3">
        <v>5</v>
      </c>
      <c r="C34" s="12">
        <v>46275.177083333336</v>
      </c>
      <c r="D34" s="12">
        <v>46275.188379629632</v>
      </c>
      <c r="G34" s="3"/>
      <c r="H34" s="3"/>
      <c r="J34" s="37">
        <v>5</v>
      </c>
      <c r="K34" s="27">
        <v>46275</v>
      </c>
      <c r="L34" s="32">
        <f t="shared" si="0"/>
        <v>1.1296296295768116E-2</v>
      </c>
    </row>
    <row r="35" spans="2:18" x14ac:dyDescent="0.3">
      <c r="B35" s="3">
        <v>6</v>
      </c>
      <c r="C35" s="12">
        <v>46275.145833333336</v>
      </c>
      <c r="D35" s="12">
        <v>46275.147615740738</v>
      </c>
      <c r="G35" s="3"/>
      <c r="H35" s="3"/>
      <c r="J35" s="37">
        <v>6</v>
      </c>
      <c r="K35" s="27">
        <v>46275</v>
      </c>
      <c r="L35" s="32">
        <f t="shared" si="0"/>
        <v>1.782407402060926E-3</v>
      </c>
      <c r="N35" s="86" t="s">
        <v>85</v>
      </c>
      <c r="O35" s="86"/>
      <c r="P35" s="86"/>
      <c r="Q35" s="86"/>
      <c r="R35" s="86"/>
    </row>
    <row r="36" spans="2:18" x14ac:dyDescent="0.3">
      <c r="B36" s="3">
        <v>7</v>
      </c>
      <c r="C36" s="12">
        <v>46275.15625</v>
      </c>
      <c r="D36" s="12">
        <v>46275.166192129633</v>
      </c>
      <c r="G36" s="3"/>
      <c r="H36" s="3"/>
      <c r="J36" s="37">
        <v>7</v>
      </c>
      <c r="K36" s="27">
        <v>46275</v>
      </c>
      <c r="L36" s="32">
        <f t="shared" si="0"/>
        <v>9.9421296326909214E-3</v>
      </c>
      <c r="N36" s="25" t="s">
        <v>27</v>
      </c>
      <c r="O36" s="35" t="s">
        <v>83</v>
      </c>
      <c r="P36" s="35" t="s">
        <v>76</v>
      </c>
      <c r="Q36" s="35" t="s">
        <v>81</v>
      </c>
      <c r="R36" s="41" t="s">
        <v>82</v>
      </c>
    </row>
    <row r="37" spans="2:18" x14ac:dyDescent="0.3">
      <c r="B37" s="3">
        <v>1</v>
      </c>
      <c r="C37" s="12">
        <v>46282.125</v>
      </c>
      <c r="D37" s="12">
        <v>46282.132233796299</v>
      </c>
      <c r="G37" s="3"/>
      <c r="H37" s="3"/>
      <c r="J37" s="37">
        <v>1</v>
      </c>
      <c r="K37" s="27">
        <v>46282</v>
      </c>
      <c r="L37" s="32">
        <f t="shared" si="0"/>
        <v>7.2337962992605753E-3</v>
      </c>
      <c r="N37" s="26">
        <v>1</v>
      </c>
      <c r="O37" s="31">
        <f t="shared" ref="O37:O43" si="13">L37</f>
        <v>7.2337962992605753E-3</v>
      </c>
      <c r="P37" s="31">
        <f t="shared" ref="P37:P43" si="14">L23</f>
        <v>8.7962962934398092E-3</v>
      </c>
      <c r="Q37" s="40" t="str">
        <f>IF(O37&gt;=P37,TEXT(O37-P37,"чч:мм:сс"),"-"&amp;TEXT(P37-O37,"чч:мм:сс"))</f>
        <v>-00:02:15</v>
      </c>
      <c r="R37" s="61">
        <f>((O37-P37)*86400) / (P37 * 86400)</f>
        <v>-0.17763157834332285</v>
      </c>
    </row>
    <row r="38" spans="2:18" x14ac:dyDescent="0.3">
      <c r="B38" s="3">
        <v>2</v>
      </c>
      <c r="C38" s="12">
        <v>46282.131944444445</v>
      </c>
      <c r="D38" s="12">
        <v>46282.13789351852</v>
      </c>
      <c r="J38" s="37">
        <v>2</v>
      </c>
      <c r="K38" s="27">
        <v>46282</v>
      </c>
      <c r="L38" s="32">
        <f t="shared" si="0"/>
        <v>5.9490740750334226E-3</v>
      </c>
      <c r="N38" s="26">
        <v>2</v>
      </c>
      <c r="O38" s="31">
        <f t="shared" si="13"/>
        <v>5.9490740750334226E-3</v>
      </c>
      <c r="P38" s="31">
        <f t="shared" si="14"/>
        <v>6.3078703678911552E-3</v>
      </c>
      <c r="Q38" s="40" t="str">
        <f t="shared" ref="Q38:Q43" si="15">IF(O38&gt;=P38,TEXT(O38-P38,"чч:мм:сс"),"-"&amp;TEXT(P38-O38,"чч:мм:сс"))</f>
        <v>-00:00:31</v>
      </c>
      <c r="R38" s="61">
        <f t="shared" ref="R38:R43" si="16">((O38-P38)*86400) / (P38 * 86400)</f>
        <v>-5.6880733422187503E-2</v>
      </c>
    </row>
    <row r="39" spans="2:18" x14ac:dyDescent="0.3">
      <c r="B39" s="3">
        <v>3</v>
      </c>
      <c r="C39" s="12">
        <v>46282.129861111112</v>
      </c>
      <c r="D39" s="12">
        <v>46282.133530092593</v>
      </c>
      <c r="J39" s="37">
        <v>3</v>
      </c>
      <c r="K39" s="27">
        <v>46282</v>
      </c>
      <c r="L39" s="32">
        <f t="shared" si="0"/>
        <v>3.6689814805868082E-3</v>
      </c>
      <c r="N39" s="26">
        <v>3</v>
      </c>
      <c r="O39" s="31">
        <f t="shared" si="13"/>
        <v>3.6689814805868082E-3</v>
      </c>
      <c r="P39" s="31">
        <f t="shared" si="14"/>
        <v>4.7106481433729641E-3</v>
      </c>
      <c r="Q39" s="40" t="str">
        <f t="shared" si="15"/>
        <v>-00:01:30</v>
      </c>
      <c r="R39" s="61">
        <f t="shared" si="16"/>
        <v>-0.22113022053060657</v>
      </c>
    </row>
    <row r="40" spans="2:18" x14ac:dyDescent="0.3">
      <c r="B40" s="3">
        <v>4</v>
      </c>
      <c r="C40" s="12">
        <v>46282.170138888891</v>
      </c>
      <c r="D40" s="12">
        <v>46282.180196759262</v>
      </c>
      <c r="J40" s="37">
        <v>4</v>
      </c>
      <c r="K40" s="27">
        <v>46282</v>
      </c>
      <c r="L40" s="32">
        <f t="shared" si="0"/>
        <v>1.0057870371383615E-2</v>
      </c>
      <c r="N40" s="26">
        <v>4</v>
      </c>
      <c r="O40" s="31">
        <f t="shared" si="13"/>
        <v>1.0057870371383615E-2</v>
      </c>
      <c r="P40" s="31">
        <f t="shared" si="14"/>
        <v>2.4652777792653069E-3</v>
      </c>
      <c r="Q40" s="40" t="str">
        <f t="shared" si="15"/>
        <v>00:10:56</v>
      </c>
      <c r="R40" s="61">
        <f t="shared" si="16"/>
        <v>3.07981220452205</v>
      </c>
    </row>
    <row r="41" spans="2:18" x14ac:dyDescent="0.3">
      <c r="B41" s="3">
        <v>5</v>
      </c>
      <c r="C41" s="12">
        <v>46282.177083333336</v>
      </c>
      <c r="D41" s="12">
        <v>46282.188645833332</v>
      </c>
      <c r="J41" s="37">
        <v>5</v>
      </c>
      <c r="K41" s="27">
        <v>46282</v>
      </c>
      <c r="L41" s="32">
        <f t="shared" si="0"/>
        <v>1.1562499996216502E-2</v>
      </c>
      <c r="N41" s="26">
        <v>5</v>
      </c>
      <c r="O41" s="31">
        <f t="shared" si="13"/>
        <v>1.1562499996216502E-2</v>
      </c>
      <c r="P41" s="31">
        <f t="shared" si="14"/>
        <v>1.8124999995052349E-2</v>
      </c>
      <c r="Q41" s="40" t="str">
        <f t="shared" si="15"/>
        <v>-00:09:27</v>
      </c>
      <c r="R41" s="61">
        <f t="shared" si="16"/>
        <v>-0.36206896555184759</v>
      </c>
    </row>
    <row r="42" spans="2:18" x14ac:dyDescent="0.3">
      <c r="B42" s="3">
        <v>6</v>
      </c>
      <c r="C42" s="12">
        <v>46282.145833333336</v>
      </c>
      <c r="D42" s="12">
        <v>46282.155752314815</v>
      </c>
      <c r="J42" s="37">
        <v>6</v>
      </c>
      <c r="K42" s="27">
        <v>46282</v>
      </c>
      <c r="L42" s="32">
        <f t="shared" si="0"/>
        <v>9.9189814791316167E-3</v>
      </c>
      <c r="N42" s="26">
        <v>6</v>
      </c>
      <c r="O42" s="31">
        <f t="shared" si="13"/>
        <v>9.9189814791316167E-3</v>
      </c>
      <c r="P42" s="31">
        <f t="shared" si="14"/>
        <v>3.4143518496421166E-3</v>
      </c>
      <c r="Q42" s="40" t="str">
        <f t="shared" si="15"/>
        <v>00:09:22</v>
      </c>
      <c r="R42" s="61">
        <f t="shared" si="16"/>
        <v>1.9050847469546228</v>
      </c>
    </row>
    <row r="43" spans="2:18" x14ac:dyDescent="0.3">
      <c r="B43" s="3">
        <v>7</v>
      </c>
      <c r="C43" s="12">
        <v>46282.15625</v>
      </c>
      <c r="D43" s="12">
        <v>46282.166678240741</v>
      </c>
      <c r="J43" s="38">
        <v>7</v>
      </c>
      <c r="K43" s="39">
        <v>46282</v>
      </c>
      <c r="L43" s="34">
        <f t="shared" si="0"/>
        <v>1.0428240741021E-2</v>
      </c>
      <c r="N43" s="30">
        <v>7</v>
      </c>
      <c r="O43" s="33">
        <f t="shared" si="13"/>
        <v>1.0428240741021E-2</v>
      </c>
      <c r="P43" s="33">
        <f t="shared" si="14"/>
        <v>1.2025462965539191E-2</v>
      </c>
      <c r="Q43" s="43" t="str">
        <f t="shared" si="15"/>
        <v>-00:02:18</v>
      </c>
      <c r="R43" s="62">
        <f t="shared" si="16"/>
        <v>-0.13282001941174959</v>
      </c>
    </row>
    <row r="44" spans="2:18" x14ac:dyDescent="0.3">
      <c r="C44" s="3"/>
      <c r="D44" s="3"/>
    </row>
    <row r="45" spans="2:18" x14ac:dyDescent="0.3">
      <c r="C45" s="3"/>
      <c r="D45" s="3"/>
    </row>
    <row r="46" spans="2:18" x14ac:dyDescent="0.3">
      <c r="C46" s="3"/>
      <c r="D46" s="3"/>
    </row>
    <row r="47" spans="2:18" x14ac:dyDescent="0.3">
      <c r="C47" s="3"/>
      <c r="D47" s="3"/>
    </row>
    <row r="48" spans="2:18" x14ac:dyDescent="0.3">
      <c r="C48" s="3"/>
      <c r="D48" s="3"/>
    </row>
    <row r="49" spans="2:4" x14ac:dyDescent="0.3">
      <c r="C49" s="3"/>
      <c r="D49" s="3"/>
    </row>
    <row r="50" spans="2:4" x14ac:dyDescent="0.3">
      <c r="C50" s="3"/>
      <c r="D50" s="3"/>
    </row>
    <row r="51" spans="2:4" x14ac:dyDescent="0.3">
      <c r="C51" s="3"/>
      <c r="D51" s="3"/>
    </row>
    <row r="52" spans="2:4" x14ac:dyDescent="0.3">
      <c r="C52" s="3"/>
      <c r="D52" s="3"/>
    </row>
    <row r="53" spans="2:4" x14ac:dyDescent="0.3">
      <c r="C53" s="3"/>
      <c r="D53" s="3"/>
    </row>
    <row r="54" spans="2:4" x14ac:dyDescent="0.3">
      <c r="C54" s="3"/>
      <c r="D54" s="3"/>
    </row>
    <row r="55" spans="2:4" x14ac:dyDescent="0.3">
      <c r="C55" s="3"/>
      <c r="D55" s="3"/>
    </row>
    <row r="56" spans="2:4" x14ac:dyDescent="0.3">
      <c r="C56" s="3"/>
      <c r="D56" s="3"/>
    </row>
    <row r="57" spans="2:4" x14ac:dyDescent="0.3">
      <c r="C57" s="3"/>
      <c r="D57" s="3"/>
    </row>
    <row r="58" spans="2:4" x14ac:dyDescent="0.3">
      <c r="C58" s="3"/>
      <c r="D58" s="3"/>
    </row>
    <row r="59" spans="2:4" x14ac:dyDescent="0.3">
      <c r="C59" s="3"/>
      <c r="D59" s="3"/>
    </row>
    <row r="60" spans="2:4" x14ac:dyDescent="0.3">
      <c r="B60" s="3"/>
      <c r="C60" s="3"/>
      <c r="D60" s="3"/>
    </row>
    <row r="61" spans="2:4" x14ac:dyDescent="0.3">
      <c r="B61" s="3"/>
      <c r="C61" s="3"/>
      <c r="D61" s="3"/>
    </row>
    <row r="62" spans="2:4" x14ac:dyDescent="0.3">
      <c r="B62" s="3"/>
      <c r="C62" s="3"/>
      <c r="D62" s="3"/>
    </row>
    <row r="63" spans="2:4" x14ac:dyDescent="0.3">
      <c r="B63" s="3"/>
      <c r="C63" s="3"/>
      <c r="D63" s="3"/>
    </row>
    <row r="64" spans="2:4" x14ac:dyDescent="0.3">
      <c r="B64" s="3"/>
      <c r="C64" s="3"/>
      <c r="D64" s="3"/>
    </row>
    <row r="65" spans="2:4" x14ac:dyDescent="0.3">
      <c r="B65" s="3"/>
      <c r="C65" s="3"/>
      <c r="D65" s="3"/>
    </row>
    <row r="66" spans="2:4" x14ac:dyDescent="0.3">
      <c r="B66" s="3"/>
      <c r="C66" s="3"/>
      <c r="D66" s="3"/>
    </row>
    <row r="67" spans="2:4" x14ac:dyDescent="0.3">
      <c r="B67" s="3"/>
      <c r="C67" s="3"/>
      <c r="D67" s="3"/>
    </row>
  </sheetData>
  <mergeCells count="5">
    <mergeCell ref="S23:V23"/>
    <mergeCell ref="W23:Z23"/>
    <mergeCell ref="N35:R35"/>
    <mergeCell ref="N22:R22"/>
    <mergeCell ref="O23:R23"/>
  </mergeCells>
  <conditionalFormatting sqref="Z25:Z31">
    <cfRule type="cellIs" dxfId="57" priority="15" operator="lessThan">
      <formula>0</formula>
    </cfRule>
    <cfRule type="cellIs" dxfId="56" priority="16" operator="greaterThan">
      <formula>0</formula>
    </cfRule>
  </conditionalFormatting>
  <conditionalFormatting sqref="Z25:Z31">
    <cfRule type="cellIs" dxfId="55" priority="13" operator="lessThan">
      <formula>0</formula>
    </cfRule>
    <cfRule type="cellIs" dxfId="54" priority="14" operator="greaterThan">
      <formula>0</formula>
    </cfRule>
  </conditionalFormatting>
  <conditionalFormatting sqref="V25:V31">
    <cfRule type="cellIs" dxfId="53" priority="11" operator="lessThan">
      <formula>0</formula>
    </cfRule>
    <cfRule type="cellIs" dxfId="52" priority="12" operator="greaterThan">
      <formula>0</formula>
    </cfRule>
  </conditionalFormatting>
  <conditionalFormatting sqref="V25:V31">
    <cfRule type="cellIs" dxfId="51" priority="9" operator="lessThan">
      <formula>0</formula>
    </cfRule>
    <cfRule type="cellIs" dxfId="50" priority="10" operator="greaterThan">
      <formula>0</formula>
    </cfRule>
  </conditionalFormatting>
  <conditionalFormatting sqref="R25:R31">
    <cfRule type="cellIs" dxfId="49" priority="7" operator="lessThan">
      <formula>0</formula>
    </cfRule>
    <cfRule type="cellIs" dxfId="48" priority="8" operator="greaterThan">
      <formula>0</formula>
    </cfRule>
  </conditionalFormatting>
  <conditionalFormatting sqref="R25:R31">
    <cfRule type="cellIs" dxfId="47" priority="5" operator="lessThan">
      <formula>0</formula>
    </cfRule>
    <cfRule type="cellIs" dxfId="46" priority="6" operator="greaterThan">
      <formula>0</formula>
    </cfRule>
  </conditionalFormatting>
  <conditionalFormatting sqref="R37:R43">
    <cfRule type="cellIs" dxfId="45" priority="3" operator="lessThan">
      <formula>0</formula>
    </cfRule>
    <cfRule type="cellIs" dxfId="44" priority="4" operator="greaterThan">
      <formula>0</formula>
    </cfRule>
  </conditionalFormatting>
  <conditionalFormatting sqref="R37:R43">
    <cfRule type="cellIs" dxfId="43" priority="1" operator="lessThan">
      <formula>0</formula>
    </cfRule>
    <cfRule type="cellIs" dxfId="4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34A7-A560-4126-83E1-2DA1DE7E58E5}">
  <dimension ref="B2:W53"/>
  <sheetViews>
    <sheetView topLeftCell="D6" zoomScale="90" zoomScaleNormal="90" workbookViewId="0">
      <selection activeCell="R25" sqref="R25"/>
    </sheetView>
  </sheetViews>
  <sheetFormatPr defaultRowHeight="14.4" x14ac:dyDescent="0.3"/>
  <cols>
    <col min="1" max="1" width="3.6640625" customWidth="1"/>
    <col min="2" max="2" width="18.109375" customWidth="1"/>
    <col min="3" max="3" width="22.44140625" customWidth="1"/>
    <col min="4" max="4" width="17.77734375" bestFit="1" customWidth="1"/>
    <col min="5" max="5" width="18.33203125" customWidth="1"/>
    <col min="6" max="6" width="14.109375" customWidth="1"/>
    <col min="7" max="19" width="8.44140625" customWidth="1"/>
  </cols>
  <sheetData>
    <row r="2" spans="2:14" x14ac:dyDescent="0.3">
      <c r="B2" s="1" t="s">
        <v>15</v>
      </c>
    </row>
    <row r="3" spans="2:14" x14ac:dyDescent="0.3">
      <c r="B3" t="s">
        <v>16</v>
      </c>
      <c r="C3" s="7" t="s">
        <v>17</v>
      </c>
    </row>
    <row r="4" spans="2:14" x14ac:dyDescent="0.3">
      <c r="B4" t="s">
        <v>18</v>
      </c>
      <c r="C4" s="7" t="s">
        <v>70</v>
      </c>
    </row>
    <row r="6" spans="2:14" x14ac:dyDescent="0.3">
      <c r="B6" s="1" t="s">
        <v>0</v>
      </c>
    </row>
    <row r="7" spans="2:14" x14ac:dyDescent="0.3">
      <c r="B7" t="s">
        <v>46</v>
      </c>
    </row>
    <row r="8" spans="2:14" x14ac:dyDescent="0.3">
      <c r="B8" t="s">
        <v>47</v>
      </c>
    </row>
    <row r="9" spans="2:14" x14ac:dyDescent="0.3">
      <c r="B9" t="s">
        <v>48</v>
      </c>
    </row>
    <row r="11" spans="2:14" x14ac:dyDescent="0.3">
      <c r="F11" s="48" t="s">
        <v>21</v>
      </c>
    </row>
    <row r="13" spans="2:14" x14ac:dyDescent="0.3">
      <c r="B13" s="2" t="s">
        <v>19</v>
      </c>
      <c r="C13" s="2" t="s">
        <v>20</v>
      </c>
      <c r="D13" s="2" t="s">
        <v>18</v>
      </c>
      <c r="F13" s="56"/>
      <c r="G13" s="87" t="s">
        <v>99</v>
      </c>
      <c r="H13" s="88"/>
      <c r="I13" s="88"/>
      <c r="J13" s="89"/>
      <c r="K13" s="88" t="s">
        <v>18</v>
      </c>
      <c r="L13" s="88"/>
      <c r="M13" s="88"/>
      <c r="N13" s="89"/>
    </row>
    <row r="14" spans="2:14" x14ac:dyDescent="0.3">
      <c r="B14" s="8">
        <v>44197</v>
      </c>
      <c r="C14" s="4">
        <v>1830</v>
      </c>
      <c r="D14" s="4">
        <v>505</v>
      </c>
      <c r="F14" s="58" t="s">
        <v>86</v>
      </c>
      <c r="G14" s="58" t="s">
        <v>100</v>
      </c>
      <c r="H14" s="59" t="s">
        <v>101</v>
      </c>
      <c r="I14" s="59" t="s">
        <v>81</v>
      </c>
      <c r="J14" s="60" t="s">
        <v>82</v>
      </c>
      <c r="K14" s="59" t="s">
        <v>100</v>
      </c>
      <c r="L14" s="59" t="s">
        <v>101</v>
      </c>
      <c r="M14" s="59" t="s">
        <v>81</v>
      </c>
      <c r="N14" s="60" t="s">
        <v>82</v>
      </c>
    </row>
    <row r="15" spans="2:14" x14ac:dyDescent="0.3">
      <c r="B15" s="8">
        <v>44228</v>
      </c>
      <c r="C15" s="4">
        <v>1974</v>
      </c>
      <c r="D15" s="4">
        <v>497</v>
      </c>
      <c r="F15" s="54" t="s">
        <v>87</v>
      </c>
      <c r="G15" s="55">
        <v>1830</v>
      </c>
      <c r="H15" s="51">
        <v>2011</v>
      </c>
      <c r="I15" s="50">
        <f t="shared" ref="I15:I26" si="0" xml:space="preserve"> H15-G15</f>
        <v>181</v>
      </c>
      <c r="J15" s="61">
        <f>I15 / (G15)</f>
        <v>9.8907103825136608E-2</v>
      </c>
      <c r="K15" s="51">
        <v>505</v>
      </c>
      <c r="L15" s="51">
        <v>505</v>
      </c>
      <c r="M15" s="51">
        <f t="shared" ref="M15:M27" si="1" xml:space="preserve"> L15-K15</f>
        <v>0</v>
      </c>
      <c r="N15" s="63">
        <f>M15 / (K15)</f>
        <v>0</v>
      </c>
    </row>
    <row r="16" spans="2:14" x14ac:dyDescent="0.3">
      <c r="B16" s="8">
        <v>44256</v>
      </c>
      <c r="C16" s="4">
        <v>1968</v>
      </c>
      <c r="D16" s="4">
        <v>509</v>
      </c>
      <c r="F16" s="54" t="s">
        <v>88</v>
      </c>
      <c r="G16" s="55">
        <v>1974</v>
      </c>
      <c r="H16" s="51">
        <v>1836</v>
      </c>
      <c r="I16" s="50">
        <f t="shared" si="0"/>
        <v>-138</v>
      </c>
      <c r="J16" s="61">
        <f t="shared" ref="J16:J27" si="2">I16 / (G16)</f>
        <v>-6.9908814589665649E-2</v>
      </c>
      <c r="K16" s="51">
        <v>497</v>
      </c>
      <c r="L16" s="51">
        <v>511</v>
      </c>
      <c r="M16" s="51">
        <f t="shared" si="1"/>
        <v>14</v>
      </c>
      <c r="N16" s="61">
        <f t="shared" ref="N16:N27" si="3">M16 / (K16)</f>
        <v>2.8169014084507043E-2</v>
      </c>
    </row>
    <row r="17" spans="2:14" x14ac:dyDescent="0.3">
      <c r="B17" s="8">
        <v>44287</v>
      </c>
      <c r="C17" s="4">
        <v>1852</v>
      </c>
      <c r="D17" s="4">
        <v>491</v>
      </c>
      <c r="F17" s="54" t="s">
        <v>89</v>
      </c>
      <c r="G17" s="55">
        <v>1968</v>
      </c>
      <c r="H17" s="51">
        <v>1801</v>
      </c>
      <c r="I17" s="50">
        <f t="shared" si="0"/>
        <v>-167</v>
      </c>
      <c r="J17" s="61">
        <f t="shared" si="2"/>
        <v>-8.4857723577235769E-2</v>
      </c>
      <c r="K17" s="51">
        <v>509</v>
      </c>
      <c r="L17" s="51">
        <v>520</v>
      </c>
      <c r="M17" s="51">
        <f t="shared" si="1"/>
        <v>11</v>
      </c>
      <c r="N17" s="61">
        <f t="shared" si="3"/>
        <v>2.1611001964636542E-2</v>
      </c>
    </row>
    <row r="18" spans="2:14" x14ac:dyDescent="0.3">
      <c r="B18" s="8">
        <v>44317</v>
      </c>
      <c r="C18" s="4">
        <v>1975</v>
      </c>
      <c r="D18" s="4">
        <v>499</v>
      </c>
      <c r="F18" s="54" t="s">
        <v>90</v>
      </c>
      <c r="G18" s="55">
        <v>1852</v>
      </c>
      <c r="H18" s="51">
        <v>2054</v>
      </c>
      <c r="I18" s="50">
        <f t="shared" si="0"/>
        <v>202</v>
      </c>
      <c r="J18" s="61">
        <f t="shared" si="2"/>
        <v>0.10907127429805616</v>
      </c>
      <c r="K18" s="51">
        <v>491</v>
      </c>
      <c r="L18" s="51">
        <v>507</v>
      </c>
      <c r="M18" s="51">
        <f t="shared" si="1"/>
        <v>16</v>
      </c>
      <c r="N18" s="61">
        <f t="shared" si="3"/>
        <v>3.2586558044806514E-2</v>
      </c>
    </row>
    <row r="19" spans="2:14" x14ac:dyDescent="0.3">
      <c r="B19" s="8">
        <v>44348</v>
      </c>
      <c r="C19" s="4">
        <v>2208</v>
      </c>
      <c r="D19" s="4">
        <v>427.55</v>
      </c>
      <c r="F19" s="54" t="s">
        <v>91</v>
      </c>
      <c r="G19" s="55">
        <v>1975</v>
      </c>
      <c r="H19" s="51">
        <v>2136</v>
      </c>
      <c r="I19" s="50">
        <f t="shared" si="0"/>
        <v>161</v>
      </c>
      <c r="J19" s="61">
        <f t="shared" si="2"/>
        <v>8.1518987341772153E-2</v>
      </c>
      <c r="K19" s="51">
        <v>499</v>
      </c>
      <c r="L19" s="51">
        <v>517</v>
      </c>
      <c r="M19" s="51">
        <f t="shared" si="1"/>
        <v>18</v>
      </c>
      <c r="N19" s="61">
        <f t="shared" si="3"/>
        <v>3.6072144288577156E-2</v>
      </c>
    </row>
    <row r="20" spans="2:14" x14ac:dyDescent="0.3">
      <c r="B20" s="8">
        <v>44378</v>
      </c>
      <c r="C20" s="4">
        <v>2138</v>
      </c>
      <c r="D20" s="4">
        <v>509</v>
      </c>
      <c r="F20" s="54" t="s">
        <v>92</v>
      </c>
      <c r="G20" s="55">
        <v>2208</v>
      </c>
      <c r="H20" s="51">
        <v>2453</v>
      </c>
      <c r="I20" s="50">
        <f t="shared" si="0"/>
        <v>245</v>
      </c>
      <c r="J20" s="61">
        <f t="shared" si="2"/>
        <v>0.11096014492753623</v>
      </c>
      <c r="K20" s="51">
        <v>427.55</v>
      </c>
      <c r="L20" s="51">
        <v>429</v>
      </c>
      <c r="M20" s="51">
        <f t="shared" si="1"/>
        <v>1.4499999999999886</v>
      </c>
      <c r="N20" s="61">
        <f t="shared" si="3"/>
        <v>3.3914162086305429E-3</v>
      </c>
    </row>
    <row r="21" spans="2:14" x14ac:dyDescent="0.3">
      <c r="B21" s="8">
        <v>44409</v>
      </c>
      <c r="C21" s="4">
        <v>1860</v>
      </c>
      <c r="D21" s="4">
        <v>491</v>
      </c>
      <c r="F21" s="54" t="s">
        <v>93</v>
      </c>
      <c r="G21" s="55">
        <v>2138</v>
      </c>
      <c r="H21" s="51">
        <v>1831</v>
      </c>
      <c r="I21" s="50">
        <f t="shared" si="0"/>
        <v>-307</v>
      </c>
      <c r="J21" s="61">
        <f t="shared" si="2"/>
        <v>-0.14359214218896166</v>
      </c>
      <c r="K21" s="51">
        <v>509</v>
      </c>
      <c r="L21" s="51">
        <v>504</v>
      </c>
      <c r="M21" s="51">
        <f t="shared" si="1"/>
        <v>-5</v>
      </c>
      <c r="N21" s="61">
        <f t="shared" si="3"/>
        <v>-9.823182711198428E-3</v>
      </c>
    </row>
    <row r="22" spans="2:14" x14ac:dyDescent="0.3">
      <c r="B22" s="8">
        <v>44440</v>
      </c>
      <c r="C22" s="4">
        <v>1847</v>
      </c>
      <c r="D22" s="4">
        <v>496</v>
      </c>
      <c r="F22" s="54" t="s">
        <v>94</v>
      </c>
      <c r="G22" s="55">
        <v>1860</v>
      </c>
      <c r="H22" s="51">
        <v>1838</v>
      </c>
      <c r="I22" s="50">
        <f t="shared" si="0"/>
        <v>-22</v>
      </c>
      <c r="J22" s="61">
        <f t="shared" si="2"/>
        <v>-1.1827956989247311E-2</v>
      </c>
      <c r="K22" s="51">
        <v>491</v>
      </c>
      <c r="L22" s="51">
        <v>515</v>
      </c>
      <c r="M22" s="51">
        <f t="shared" si="1"/>
        <v>24</v>
      </c>
      <c r="N22" s="61">
        <f t="shared" si="3"/>
        <v>4.8879837067209775E-2</v>
      </c>
    </row>
    <row r="23" spans="2:14" x14ac:dyDescent="0.3">
      <c r="B23" s="8">
        <v>44470</v>
      </c>
      <c r="C23" s="4">
        <v>2115</v>
      </c>
      <c r="D23" s="4">
        <v>498</v>
      </c>
      <c r="F23" s="54" t="s">
        <v>95</v>
      </c>
      <c r="G23" s="55">
        <v>1847</v>
      </c>
      <c r="H23" s="51">
        <v>1963</v>
      </c>
      <c r="I23" s="50">
        <f t="shared" si="0"/>
        <v>116</v>
      </c>
      <c r="J23" s="61">
        <f t="shared" si="2"/>
        <v>6.2804547915538717E-2</v>
      </c>
      <c r="K23" s="51">
        <v>496</v>
      </c>
      <c r="L23" s="51">
        <v>512</v>
      </c>
      <c r="M23" s="51">
        <f t="shared" si="1"/>
        <v>16</v>
      </c>
      <c r="N23" s="61">
        <f t="shared" si="3"/>
        <v>3.2258064516129031E-2</v>
      </c>
    </row>
    <row r="24" spans="2:14" x14ac:dyDescent="0.3">
      <c r="B24" s="8">
        <v>44501</v>
      </c>
      <c r="C24" s="4">
        <v>2199</v>
      </c>
      <c r="D24" s="4">
        <v>501</v>
      </c>
      <c r="F24" s="54" t="s">
        <v>96</v>
      </c>
      <c r="G24" s="55">
        <v>2115</v>
      </c>
      <c r="H24" s="51">
        <v>2185</v>
      </c>
      <c r="I24" s="50">
        <f t="shared" si="0"/>
        <v>70</v>
      </c>
      <c r="J24" s="61">
        <f t="shared" si="2"/>
        <v>3.309692671394799E-2</v>
      </c>
      <c r="K24" s="51">
        <v>498</v>
      </c>
      <c r="L24" s="51">
        <v>516</v>
      </c>
      <c r="M24" s="51">
        <f t="shared" si="1"/>
        <v>18</v>
      </c>
      <c r="N24" s="61">
        <f t="shared" si="3"/>
        <v>3.614457831325301E-2</v>
      </c>
    </row>
    <row r="25" spans="2:14" x14ac:dyDescent="0.3">
      <c r="B25" s="8">
        <v>44531</v>
      </c>
      <c r="C25" s="4">
        <v>2345</v>
      </c>
      <c r="D25" s="4">
        <v>507</v>
      </c>
      <c r="F25" s="54" t="s">
        <v>97</v>
      </c>
      <c r="G25" s="55">
        <v>2199</v>
      </c>
      <c r="H25" s="51">
        <v>2302</v>
      </c>
      <c r="I25" s="50">
        <f t="shared" si="0"/>
        <v>103</v>
      </c>
      <c r="J25" s="61">
        <f t="shared" si="2"/>
        <v>4.6839472487494316E-2</v>
      </c>
      <c r="K25" s="51">
        <v>501</v>
      </c>
      <c r="L25" s="51">
        <v>500</v>
      </c>
      <c r="M25" s="51">
        <f t="shared" si="1"/>
        <v>-1</v>
      </c>
      <c r="N25" s="61">
        <f t="shared" si="3"/>
        <v>-1.996007984031936E-3</v>
      </c>
    </row>
    <row r="26" spans="2:14" x14ac:dyDescent="0.3">
      <c r="B26" s="8">
        <v>44562</v>
      </c>
      <c r="C26" s="4">
        <v>2011</v>
      </c>
      <c r="D26" s="4">
        <v>505</v>
      </c>
      <c r="F26" s="75" t="s">
        <v>98</v>
      </c>
      <c r="G26" s="52">
        <v>2345</v>
      </c>
      <c r="H26" s="52">
        <v>2376</v>
      </c>
      <c r="I26" s="53">
        <f t="shared" si="0"/>
        <v>31</v>
      </c>
      <c r="J26" s="61">
        <f t="shared" si="2"/>
        <v>1.3219616204690832E-2</v>
      </c>
      <c r="K26" s="52">
        <v>507</v>
      </c>
      <c r="L26" s="52">
        <v>516</v>
      </c>
      <c r="M26" s="52">
        <f t="shared" si="1"/>
        <v>9</v>
      </c>
      <c r="N26" s="61">
        <f t="shared" si="3"/>
        <v>1.7751479289940829E-2</v>
      </c>
    </row>
    <row r="27" spans="2:14" x14ac:dyDescent="0.3">
      <c r="B27" s="8">
        <v>44593</v>
      </c>
      <c r="C27" s="4">
        <v>1836</v>
      </c>
      <c r="D27" s="4">
        <v>511</v>
      </c>
      <c r="F27" s="76" t="s">
        <v>122</v>
      </c>
      <c r="G27" s="72">
        <f>SUM(G15:G26)</f>
        <v>24311</v>
      </c>
      <c r="H27" s="72">
        <f>SUM(H15:H26)</f>
        <v>24786</v>
      </c>
      <c r="I27" s="72">
        <f>H27-G27</f>
        <v>475</v>
      </c>
      <c r="J27" s="73">
        <f t="shared" si="2"/>
        <v>1.953848052321994E-2</v>
      </c>
      <c r="K27" s="72">
        <f>AVERAGE(K15:K26)</f>
        <v>494.21250000000003</v>
      </c>
      <c r="L27" s="72">
        <f>AVERAGE(L15:L26)</f>
        <v>504.33333333333331</v>
      </c>
      <c r="M27" s="74">
        <f t="shared" si="1"/>
        <v>10.12083333333328</v>
      </c>
      <c r="N27" s="73">
        <f t="shared" si="3"/>
        <v>2.0478707708391188E-2</v>
      </c>
    </row>
    <row r="28" spans="2:14" x14ac:dyDescent="0.3">
      <c r="B28" s="8">
        <v>44621</v>
      </c>
      <c r="C28" s="4">
        <v>1801</v>
      </c>
      <c r="D28" s="4">
        <v>520</v>
      </c>
      <c r="F28" s="13"/>
    </row>
    <row r="29" spans="2:14" x14ac:dyDescent="0.3">
      <c r="B29" s="8">
        <v>44652</v>
      </c>
      <c r="C29" s="4">
        <v>2054</v>
      </c>
      <c r="D29" s="4">
        <v>507</v>
      </c>
    </row>
    <row r="30" spans="2:14" x14ac:dyDescent="0.3">
      <c r="B30" s="8">
        <v>44682</v>
      </c>
      <c r="C30" s="4">
        <v>2136</v>
      </c>
      <c r="D30" s="4">
        <v>517</v>
      </c>
    </row>
    <row r="31" spans="2:14" x14ac:dyDescent="0.3">
      <c r="B31" s="8">
        <v>44713</v>
      </c>
      <c r="C31" s="4">
        <v>2453</v>
      </c>
      <c r="D31" s="4">
        <v>429</v>
      </c>
    </row>
    <row r="32" spans="2:14" x14ac:dyDescent="0.3">
      <c r="B32" s="8">
        <v>44743</v>
      </c>
      <c r="C32" s="4">
        <v>1831</v>
      </c>
      <c r="D32" s="4">
        <v>504</v>
      </c>
    </row>
    <row r="33" spans="2:19" x14ac:dyDescent="0.3">
      <c r="B33" s="8">
        <v>44774</v>
      </c>
      <c r="C33" s="4">
        <v>1838</v>
      </c>
      <c r="D33" s="4">
        <v>515</v>
      </c>
    </row>
    <row r="34" spans="2:19" x14ac:dyDescent="0.3">
      <c r="B34" s="8">
        <v>44805</v>
      </c>
      <c r="C34" s="4">
        <v>1963</v>
      </c>
      <c r="D34" s="4">
        <v>512</v>
      </c>
      <c r="F34" s="82" t="s">
        <v>22</v>
      </c>
    </row>
    <row r="35" spans="2:19" x14ac:dyDescent="0.3">
      <c r="B35" s="8">
        <v>44835</v>
      </c>
      <c r="C35" s="4">
        <v>2185</v>
      </c>
      <c r="D35" s="4">
        <v>516</v>
      </c>
      <c r="F35" s="13"/>
    </row>
    <row r="36" spans="2:19" x14ac:dyDescent="0.3">
      <c r="B36" s="8">
        <v>44866</v>
      </c>
      <c r="C36" s="4">
        <v>2302</v>
      </c>
      <c r="D36" s="4">
        <v>500</v>
      </c>
      <c r="F36" s="67" t="s">
        <v>5</v>
      </c>
      <c r="G36" s="35" t="s">
        <v>87</v>
      </c>
      <c r="H36" s="35" t="s">
        <v>88</v>
      </c>
      <c r="I36" s="35" t="s">
        <v>89</v>
      </c>
      <c r="J36" s="35" t="s">
        <v>90</v>
      </c>
      <c r="K36" s="35" t="s">
        <v>91</v>
      </c>
      <c r="L36" s="35" t="s">
        <v>92</v>
      </c>
      <c r="M36" s="35" t="s">
        <v>93</v>
      </c>
      <c r="N36" s="35" t="s">
        <v>94</v>
      </c>
      <c r="O36" s="35" t="s">
        <v>95</v>
      </c>
      <c r="P36" s="35" t="s">
        <v>96</v>
      </c>
      <c r="Q36" s="35" t="s">
        <v>97</v>
      </c>
      <c r="R36" s="35" t="s">
        <v>98</v>
      </c>
      <c r="S36" s="77" t="s">
        <v>102</v>
      </c>
    </row>
    <row r="37" spans="2:19" ht="28.8" x14ac:dyDescent="0.3">
      <c r="B37" s="8">
        <v>44896</v>
      </c>
      <c r="C37" s="4">
        <v>2376</v>
      </c>
      <c r="D37" s="4">
        <v>516</v>
      </c>
      <c r="F37" s="68" t="s">
        <v>99</v>
      </c>
      <c r="G37" s="66">
        <f>C26</f>
        <v>2011</v>
      </c>
      <c r="H37" s="66">
        <f>C27</f>
        <v>1836</v>
      </c>
      <c r="I37" s="66">
        <f>C28</f>
        <v>1801</v>
      </c>
      <c r="J37" s="66">
        <f>C29</f>
        <v>2054</v>
      </c>
      <c r="K37" s="66">
        <f>C30</f>
        <v>2136</v>
      </c>
      <c r="L37" s="66">
        <f>C31</f>
        <v>2453</v>
      </c>
      <c r="M37" s="66">
        <f>C32</f>
        <v>1831</v>
      </c>
      <c r="N37" s="66">
        <f>C33</f>
        <v>1838</v>
      </c>
      <c r="O37" s="66">
        <f>C34</f>
        <v>1963</v>
      </c>
      <c r="P37" s="66">
        <f>C35</f>
        <v>2185</v>
      </c>
      <c r="Q37" s="66">
        <f>C36</f>
        <v>2302</v>
      </c>
      <c r="R37" s="66">
        <f>C37</f>
        <v>2376</v>
      </c>
      <c r="S37" s="78">
        <f>AVERAGE(G37:R37)</f>
        <v>2065.5</v>
      </c>
    </row>
    <row r="38" spans="2:19" ht="28.8" x14ac:dyDescent="0.3">
      <c r="F38" s="69" t="s">
        <v>103</v>
      </c>
      <c r="G38" s="65">
        <f>(G37-S37) / S37</f>
        <v>-2.6385862987170178E-2</v>
      </c>
      <c r="H38" s="65">
        <f>(H37-S37) / S37</f>
        <v>-0.1111111111111111</v>
      </c>
      <c r="I38" s="65">
        <f>(I37-S37) / S37</f>
        <v>-0.12805616073589929</v>
      </c>
      <c r="J38" s="65">
        <f>(J37-S37) / S37</f>
        <v>-5.5676591624304042E-3</v>
      </c>
      <c r="K38" s="65">
        <f>(K37-S37) / S37</f>
        <v>3.4132171387073348E-2</v>
      </c>
      <c r="L38" s="65">
        <f>(L37-S37) / S37</f>
        <v>0.18760590656015494</v>
      </c>
      <c r="M38" s="65">
        <f>(M37-S37) / S37</f>
        <v>-0.11353183248608086</v>
      </c>
      <c r="N38" s="65">
        <f>(N37-S37) / S37</f>
        <v>-0.11014282256112322</v>
      </c>
      <c r="O38" s="65">
        <f>(O37-S37) / S37</f>
        <v>-4.9624788186879688E-2</v>
      </c>
      <c r="P38" s="65">
        <f>(P37-S37) / S37</f>
        <v>5.7855240861776812E-2</v>
      </c>
      <c r="Q38" s="65">
        <f>(Q37-S37) / S37</f>
        <v>0.11450012103606874</v>
      </c>
      <c r="R38" s="65">
        <f>(R37-S37) / S37</f>
        <v>0.15032679738562091</v>
      </c>
      <c r="S38" s="80">
        <f>(S37-S37) / S37</f>
        <v>0</v>
      </c>
    </row>
    <row r="39" spans="2:19" x14ac:dyDescent="0.3">
      <c r="F39" s="70" t="s">
        <v>18</v>
      </c>
      <c r="G39" s="53">
        <f>D26</f>
        <v>505</v>
      </c>
      <c r="H39" s="53">
        <f>D27</f>
        <v>511</v>
      </c>
      <c r="I39" s="53">
        <f>D28</f>
        <v>520</v>
      </c>
      <c r="J39" s="53">
        <f>D29</f>
        <v>507</v>
      </c>
      <c r="K39" s="53">
        <f>D30</f>
        <v>517</v>
      </c>
      <c r="L39" s="53">
        <f>D31</f>
        <v>429</v>
      </c>
      <c r="M39" s="53">
        <f>D32</f>
        <v>504</v>
      </c>
      <c r="N39" s="53">
        <f>D33</f>
        <v>515</v>
      </c>
      <c r="O39" s="53">
        <f>D34</f>
        <v>512</v>
      </c>
      <c r="P39" s="53">
        <f>D35</f>
        <v>516</v>
      </c>
      <c r="Q39" s="53">
        <f>D36</f>
        <v>500</v>
      </c>
      <c r="R39" s="53">
        <f>D37</f>
        <v>516</v>
      </c>
      <c r="S39" s="79">
        <f>AVERAGE(G39:R39)</f>
        <v>504.33333333333331</v>
      </c>
    </row>
    <row r="40" spans="2:19" ht="28.8" x14ac:dyDescent="0.3">
      <c r="F40" s="69" t="s">
        <v>103</v>
      </c>
      <c r="G40" s="65">
        <f>(G39-S39) / S39</f>
        <v>1.3218770654329524E-3</v>
      </c>
      <c r="H40" s="65">
        <f>(H39-S39) / S39</f>
        <v>1.3218770654329186E-2</v>
      </c>
      <c r="I40" s="65">
        <f>(I39-S39) / S39</f>
        <v>3.1064111037673536E-2</v>
      </c>
      <c r="J40" s="65">
        <f>(J39-S39) / S39</f>
        <v>5.2875082617316969E-3</v>
      </c>
      <c r="K40" s="65">
        <f>(K39-S39) / S39</f>
        <v>2.5115664243225418E-2</v>
      </c>
      <c r="L40" s="65">
        <f>(L39-S39) / S39</f>
        <v>-0.14937210839391935</v>
      </c>
      <c r="M40" s="65">
        <f>(M39-S39) / S39</f>
        <v>-6.6093853271641982E-4</v>
      </c>
      <c r="N40" s="65">
        <f>(N39-S39) / S39</f>
        <v>2.1150033046926673E-2</v>
      </c>
      <c r="O40" s="65">
        <f>(O39-S39) / S39</f>
        <v>1.5201586252478558E-2</v>
      </c>
      <c r="P40" s="65">
        <f>(P39-S39) / S39</f>
        <v>2.3132848645076046E-2</v>
      </c>
      <c r="Q40" s="65">
        <f>(Q39-S39) / S39</f>
        <v>-8.5922009253139083E-3</v>
      </c>
      <c r="R40" s="65">
        <f>(R39-S39) / S39</f>
        <v>2.3132848645076046E-2</v>
      </c>
      <c r="S40" s="80">
        <f>(S39-S39) / S39</f>
        <v>0</v>
      </c>
    </row>
    <row r="48" spans="2:19" x14ac:dyDescent="0.3">
      <c r="F48" s="82" t="s">
        <v>23</v>
      </c>
    </row>
    <row r="51" spans="21:23" ht="28.8" customHeight="1" x14ac:dyDescent="0.3">
      <c r="U51" s="90" t="s">
        <v>104</v>
      </c>
      <c r="V51" s="91"/>
      <c r="W51" s="92"/>
    </row>
    <row r="52" spans="21:23" ht="14.4" customHeight="1" x14ac:dyDescent="0.3">
      <c r="U52" s="64" t="s">
        <v>105</v>
      </c>
      <c r="V52" s="71" t="s">
        <v>106</v>
      </c>
      <c r="W52" s="81" t="s">
        <v>107</v>
      </c>
    </row>
    <row r="53" spans="21:23" x14ac:dyDescent="0.3">
      <c r="U53" s="38">
        <f>L37*L39</f>
        <v>1052337</v>
      </c>
      <c r="V53" s="47">
        <f>ROUND(AVERAGE(G37*G39, H37*H39, I37*I39,J37*J39,K37*K39,L37*L39,M37*M39,N37*N39,O37*O39,P37*P39,Q37*Q39,R37*R39),0)</f>
        <v>1038935</v>
      </c>
      <c r="W53" s="62">
        <f>(U53-V53)/V53</f>
        <v>1.2899748299941767E-2</v>
      </c>
    </row>
  </sheetData>
  <mergeCells count="3">
    <mergeCell ref="G13:J13"/>
    <mergeCell ref="K13:N13"/>
    <mergeCell ref="U51:W51"/>
  </mergeCells>
  <conditionalFormatting sqref="G38:S38">
    <cfRule type="cellIs" dxfId="41" priority="9" operator="equal">
      <formula>0</formula>
    </cfRule>
    <cfRule type="cellIs" dxfId="40" priority="10" operator="equal">
      <formula>1.955</formula>
    </cfRule>
    <cfRule type="cellIs" dxfId="39" priority="11" operator="lessThan">
      <formula>0</formula>
    </cfRule>
    <cfRule type="cellIs" dxfId="38" priority="12" operator="greaterThan">
      <formula>0</formula>
    </cfRule>
  </conditionalFormatting>
  <conditionalFormatting sqref="G40:S40">
    <cfRule type="cellIs" dxfId="37" priority="5" operator="equal">
      <formula>0</formula>
    </cfRule>
    <cfRule type="cellIs" dxfId="36" priority="6" operator="equal">
      <formula>1.955</formula>
    </cfRule>
    <cfRule type="cellIs" dxfId="35" priority="7" operator="lessThan">
      <formula>0</formula>
    </cfRule>
    <cfRule type="cellIs" dxfId="34" priority="8" operator="greaterThan">
      <formula>0</formula>
    </cfRule>
  </conditionalFormatting>
  <conditionalFormatting sqref="J15:J27">
    <cfRule type="cellIs" dxfId="33" priority="19" operator="lessThan">
      <formula>0</formula>
    </cfRule>
    <cfRule type="cellIs" dxfId="32" priority="20" operator="greaterThan">
      <formula>0</formula>
    </cfRule>
  </conditionalFormatting>
  <conditionalFormatting sqref="N15:N27">
    <cfRule type="cellIs" dxfId="31" priority="15" operator="equal">
      <formula>0</formula>
    </cfRule>
    <cfRule type="cellIs" dxfId="30" priority="16" operator="equal">
      <formula>1.955</formula>
    </cfRule>
    <cfRule type="cellIs" dxfId="29" priority="17" operator="lessThan">
      <formula>0</formula>
    </cfRule>
    <cfRule type="cellIs" dxfId="28" priority="18" operator="greaterThan">
      <formula>0</formula>
    </cfRule>
  </conditionalFormatting>
  <conditionalFormatting sqref="W53">
    <cfRule type="cellIs" dxfId="27" priority="1" operator="equal">
      <formula>0</formula>
    </cfRule>
    <cfRule type="cellIs" dxfId="26" priority="2" operator="equal">
      <formula>1.955</formula>
    </cfRule>
    <cfRule type="cellIs" dxfId="25" priority="3" operator="lessThan">
      <formula>0</formula>
    </cfRule>
    <cfRule type="cellIs" dxfId="24" priority="4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S38 G39:S39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93F3-BEFF-46F7-86CB-D83B5DBD39F4}">
  <dimension ref="B2:S66"/>
  <sheetViews>
    <sheetView tabSelected="1" topLeftCell="D37" zoomScale="77" workbookViewId="0">
      <selection activeCell="P63" sqref="P63"/>
    </sheetView>
  </sheetViews>
  <sheetFormatPr defaultRowHeight="14.4" x14ac:dyDescent="0.3"/>
  <cols>
    <col min="1" max="1" width="3.6640625" customWidth="1"/>
    <col min="2" max="2" width="18.109375" customWidth="1"/>
    <col min="3" max="3" width="22.44140625" customWidth="1"/>
    <col min="4" max="4" width="17.77734375" bestFit="1" customWidth="1"/>
    <col min="5" max="5" width="18.33203125" customWidth="1"/>
    <col min="6" max="6" width="9.88671875" bestFit="1" customWidth="1"/>
    <col min="7" max="7" width="16.77734375" customWidth="1"/>
    <col min="8" max="21" width="11.77734375" customWidth="1"/>
  </cols>
  <sheetData>
    <row r="2" spans="2:7" x14ac:dyDescent="0.3">
      <c r="B2" s="1" t="s">
        <v>15</v>
      </c>
    </row>
    <row r="3" spans="2:7" x14ac:dyDescent="0.3">
      <c r="B3" s="17" t="s">
        <v>49</v>
      </c>
    </row>
    <row r="4" spans="2:7" x14ac:dyDescent="0.3">
      <c r="B4" t="s">
        <v>50</v>
      </c>
    </row>
    <row r="5" spans="2:7" x14ac:dyDescent="0.3">
      <c r="B5" s="10"/>
    </row>
    <row r="7" spans="2:7" x14ac:dyDescent="0.3">
      <c r="B7" s="1" t="s">
        <v>0</v>
      </c>
    </row>
    <row r="8" spans="2:7" x14ac:dyDescent="0.3">
      <c r="B8" t="s">
        <v>1</v>
      </c>
    </row>
    <row r="9" spans="2:7" x14ac:dyDescent="0.3">
      <c r="B9" t="s">
        <v>2</v>
      </c>
    </row>
    <row r="10" spans="2:7" x14ac:dyDescent="0.3">
      <c r="B10" t="s">
        <v>3</v>
      </c>
    </row>
    <row r="11" spans="2:7" x14ac:dyDescent="0.3">
      <c r="B11" t="s">
        <v>14</v>
      </c>
    </row>
    <row r="12" spans="2:7" x14ac:dyDescent="0.3">
      <c r="B12" s="10" t="s">
        <v>24</v>
      </c>
    </row>
    <row r="13" spans="2:7" x14ac:dyDescent="0.3">
      <c r="B13" s="10" t="s">
        <v>25</v>
      </c>
    </row>
    <row r="15" spans="2:7" x14ac:dyDescent="0.3">
      <c r="B15" s="2" t="s">
        <v>4</v>
      </c>
      <c r="C15" s="2" t="s">
        <v>5</v>
      </c>
      <c r="D15" s="2" t="s">
        <v>6</v>
      </c>
      <c r="E15" s="2" t="s">
        <v>7</v>
      </c>
      <c r="G15" s="82" t="s">
        <v>21</v>
      </c>
    </row>
    <row r="16" spans="2:7" x14ac:dyDescent="0.3">
      <c r="B16" s="3" t="s">
        <v>8</v>
      </c>
      <c r="C16" s="3" t="s">
        <v>9</v>
      </c>
      <c r="D16" s="4">
        <v>100</v>
      </c>
      <c r="E16" s="4">
        <v>90</v>
      </c>
    </row>
    <row r="17" spans="2:19" x14ac:dyDescent="0.3">
      <c r="B17" s="3" t="s">
        <v>8</v>
      </c>
      <c r="C17" s="3" t="s">
        <v>10</v>
      </c>
      <c r="D17" s="4">
        <v>10</v>
      </c>
      <c r="E17" s="4">
        <v>12</v>
      </c>
      <c r="G17" s="57"/>
      <c r="H17" s="87" t="s">
        <v>8</v>
      </c>
      <c r="I17" s="88"/>
      <c r="J17" s="88"/>
      <c r="K17" s="89"/>
      <c r="L17" s="88" t="s">
        <v>12</v>
      </c>
      <c r="M17" s="88"/>
      <c r="N17" s="88"/>
      <c r="O17" s="88"/>
      <c r="P17" s="87" t="s">
        <v>13</v>
      </c>
      <c r="Q17" s="88"/>
      <c r="R17" s="88"/>
      <c r="S17" s="89"/>
    </row>
    <row r="18" spans="2:19" x14ac:dyDescent="0.3">
      <c r="B18" s="3" t="s">
        <v>8</v>
      </c>
      <c r="C18" s="3" t="s">
        <v>11</v>
      </c>
      <c r="D18" s="4">
        <v>150000</v>
      </c>
      <c r="E18" s="4">
        <v>155000</v>
      </c>
      <c r="G18" s="58" t="s">
        <v>5</v>
      </c>
      <c r="H18" s="58" t="s">
        <v>6</v>
      </c>
      <c r="I18" s="59" t="s">
        <v>7</v>
      </c>
      <c r="J18" s="59" t="s">
        <v>81</v>
      </c>
      <c r="K18" s="60" t="s">
        <v>82</v>
      </c>
      <c r="L18" s="59" t="s">
        <v>6</v>
      </c>
      <c r="M18" s="59" t="s">
        <v>7</v>
      </c>
      <c r="N18" s="59" t="s">
        <v>81</v>
      </c>
      <c r="O18" s="59" t="s">
        <v>82</v>
      </c>
      <c r="P18" s="58" t="s">
        <v>6</v>
      </c>
      <c r="Q18" s="59" t="s">
        <v>7</v>
      </c>
      <c r="R18" s="59" t="s">
        <v>81</v>
      </c>
      <c r="S18" s="60" t="s">
        <v>82</v>
      </c>
    </row>
    <row r="19" spans="2:19" x14ac:dyDescent="0.3">
      <c r="B19" s="3" t="s">
        <v>12</v>
      </c>
      <c r="C19" s="3" t="s">
        <v>9</v>
      </c>
      <c r="D19" s="4">
        <v>100</v>
      </c>
      <c r="E19" s="4">
        <v>140</v>
      </c>
      <c r="G19" s="37" t="s">
        <v>9</v>
      </c>
      <c r="H19" s="95">
        <v>100</v>
      </c>
      <c r="I19" s="93">
        <v>90</v>
      </c>
      <c r="J19" s="93">
        <f>I19-H19</f>
        <v>-10</v>
      </c>
      <c r="K19" s="106">
        <f>J19/H19</f>
        <v>-0.1</v>
      </c>
      <c r="L19" s="93">
        <v>100</v>
      </c>
      <c r="M19" s="93">
        <v>140</v>
      </c>
      <c r="N19" s="93">
        <f>M19-L19</f>
        <v>40</v>
      </c>
      <c r="O19" s="98">
        <f>N19/L19</f>
        <v>0.4</v>
      </c>
      <c r="P19" s="95">
        <v>50</v>
      </c>
      <c r="Q19" s="93">
        <v>45</v>
      </c>
      <c r="R19" s="93">
        <f>Q19-P19</f>
        <v>-5</v>
      </c>
      <c r="S19" s="106">
        <f>R19/P19</f>
        <v>-0.1</v>
      </c>
    </row>
    <row r="20" spans="2:19" x14ac:dyDescent="0.3">
      <c r="B20" s="3" t="s">
        <v>12</v>
      </c>
      <c r="C20" s="3" t="s">
        <v>10</v>
      </c>
      <c r="D20" s="4">
        <v>10</v>
      </c>
      <c r="E20" s="4">
        <v>11</v>
      </c>
      <c r="G20" s="37" t="s">
        <v>10</v>
      </c>
      <c r="H20" s="95">
        <v>10</v>
      </c>
      <c r="I20" s="93">
        <v>12</v>
      </c>
      <c r="J20" s="93">
        <f t="shared" ref="J20:J21" si="0">I20-H20</f>
        <v>2</v>
      </c>
      <c r="K20" s="106">
        <f>J20/H20</f>
        <v>0.2</v>
      </c>
      <c r="L20" s="93">
        <v>10</v>
      </c>
      <c r="M20" s="93">
        <v>11</v>
      </c>
      <c r="N20" s="93">
        <f t="shared" ref="N20:N21" si="1">M20-L20</f>
        <v>1</v>
      </c>
      <c r="O20" s="98">
        <f t="shared" ref="O20:O21" si="2">N20/L20</f>
        <v>0.1</v>
      </c>
      <c r="P20" s="95">
        <v>5</v>
      </c>
      <c r="Q20" s="93">
        <v>4</v>
      </c>
      <c r="R20" s="93">
        <f t="shared" ref="R20:R21" si="3">Q20-P20</f>
        <v>-1</v>
      </c>
      <c r="S20" s="106">
        <f t="shared" ref="S20:S21" si="4">R20/P20</f>
        <v>-0.2</v>
      </c>
    </row>
    <row r="21" spans="2:19" x14ac:dyDescent="0.3">
      <c r="B21" s="3" t="s">
        <v>12</v>
      </c>
      <c r="C21" s="3" t="s">
        <v>11</v>
      </c>
      <c r="D21" s="4">
        <v>150000</v>
      </c>
      <c r="E21" s="4">
        <v>140000</v>
      </c>
      <c r="G21" s="37" t="s">
        <v>11</v>
      </c>
      <c r="H21" s="95">
        <v>150000</v>
      </c>
      <c r="I21" s="93">
        <v>155000</v>
      </c>
      <c r="J21" s="93">
        <f t="shared" si="0"/>
        <v>5000</v>
      </c>
      <c r="K21" s="106">
        <f>J21/H21</f>
        <v>3.3333333333333333E-2</v>
      </c>
      <c r="L21" s="93">
        <v>150000</v>
      </c>
      <c r="M21" s="93">
        <v>140000</v>
      </c>
      <c r="N21" s="93">
        <f t="shared" si="1"/>
        <v>-10000</v>
      </c>
      <c r="O21" s="98">
        <f t="shared" si="2"/>
        <v>-6.6666666666666666E-2</v>
      </c>
      <c r="P21" s="95">
        <v>150000</v>
      </c>
      <c r="Q21" s="93">
        <v>160000</v>
      </c>
      <c r="R21" s="93">
        <f t="shared" si="3"/>
        <v>10000</v>
      </c>
      <c r="S21" s="106">
        <f t="shared" si="4"/>
        <v>6.6666666666666666E-2</v>
      </c>
    </row>
    <row r="22" spans="2:19" x14ac:dyDescent="0.3">
      <c r="B22" s="3" t="s">
        <v>13</v>
      </c>
      <c r="C22" s="3" t="s">
        <v>9</v>
      </c>
      <c r="D22" s="4">
        <v>50</v>
      </c>
      <c r="E22" s="4">
        <v>45</v>
      </c>
      <c r="G22" s="38" t="s">
        <v>108</v>
      </c>
      <c r="H22" s="38">
        <f>H20*H21</f>
        <v>1500000</v>
      </c>
      <c r="I22" s="49">
        <f>I20*I21</f>
        <v>1860000</v>
      </c>
      <c r="J22" s="94">
        <f>I22-H22</f>
        <v>360000</v>
      </c>
      <c r="K22" s="104">
        <f>J22/H22</f>
        <v>0.24</v>
      </c>
      <c r="L22" s="49">
        <f>L20*L21</f>
        <v>1500000</v>
      </c>
      <c r="M22" s="49">
        <f>M20*M21</f>
        <v>1540000</v>
      </c>
      <c r="N22" s="94">
        <f>M22-L22</f>
        <v>40000</v>
      </c>
      <c r="O22" s="99">
        <f>N22/L22</f>
        <v>2.6666666666666668E-2</v>
      </c>
      <c r="P22" s="38">
        <f>P20*P21</f>
        <v>750000</v>
      </c>
      <c r="Q22" s="49">
        <f>Q20*Q21</f>
        <v>640000</v>
      </c>
      <c r="R22" s="94">
        <f>Q22-P22</f>
        <v>-110000</v>
      </c>
      <c r="S22" s="104">
        <f>R22/P22</f>
        <v>-0.14666666666666667</v>
      </c>
    </row>
    <row r="23" spans="2:19" x14ac:dyDescent="0.3">
      <c r="B23" s="3" t="s">
        <v>13</v>
      </c>
      <c r="C23" s="3" t="s">
        <v>10</v>
      </c>
      <c r="D23" s="4">
        <v>5</v>
      </c>
      <c r="E23" s="4">
        <v>4</v>
      </c>
    </row>
    <row r="24" spans="2:19" x14ac:dyDescent="0.3">
      <c r="B24" s="3" t="s">
        <v>13</v>
      </c>
      <c r="C24" s="3" t="s">
        <v>11</v>
      </c>
      <c r="D24" s="4">
        <v>150000</v>
      </c>
      <c r="E24" s="4">
        <v>160000</v>
      </c>
    </row>
    <row r="28" spans="2:19" x14ac:dyDescent="0.3">
      <c r="G28" s="82" t="s">
        <v>22</v>
      </c>
    </row>
    <row r="30" spans="2:19" x14ac:dyDescent="0.3">
      <c r="G30" s="110"/>
      <c r="H30" s="110" t="s">
        <v>111</v>
      </c>
      <c r="I30" s="111" t="s">
        <v>112</v>
      </c>
      <c r="J30" s="102" t="s">
        <v>113</v>
      </c>
      <c r="K30" s="102" t="s">
        <v>110</v>
      </c>
    </row>
    <row r="31" spans="2:19" x14ac:dyDescent="0.3">
      <c r="G31" s="112" t="s">
        <v>9</v>
      </c>
      <c r="H31" s="37">
        <v>90</v>
      </c>
      <c r="I31" s="71">
        <v>140</v>
      </c>
      <c r="J31" s="81">
        <v>45</v>
      </c>
      <c r="K31" s="118">
        <f>H31+I31+J31</f>
        <v>275</v>
      </c>
    </row>
    <row r="32" spans="2:19" x14ac:dyDescent="0.3">
      <c r="G32" s="58" t="s">
        <v>109</v>
      </c>
      <c r="H32" s="105">
        <f>H31/K31</f>
        <v>0.32727272727272727</v>
      </c>
      <c r="I32" s="98">
        <f>I31/K31</f>
        <v>0.50909090909090904</v>
      </c>
      <c r="J32" s="106">
        <f>J31/K31</f>
        <v>0.16363636363636364</v>
      </c>
      <c r="K32" s="117">
        <f>K31/K31</f>
        <v>1</v>
      </c>
    </row>
    <row r="33" spans="7:11" x14ac:dyDescent="0.3">
      <c r="G33" s="100" t="s">
        <v>10</v>
      </c>
      <c r="H33" s="37">
        <v>12</v>
      </c>
      <c r="I33" s="71">
        <v>11</v>
      </c>
      <c r="J33" s="81">
        <v>4</v>
      </c>
      <c r="K33" s="118">
        <f>H33+I33+J33</f>
        <v>27</v>
      </c>
    </row>
    <row r="34" spans="7:11" x14ac:dyDescent="0.3">
      <c r="G34" s="58" t="s">
        <v>109</v>
      </c>
      <c r="H34" s="105">
        <f>H33/K33</f>
        <v>0.44444444444444442</v>
      </c>
      <c r="I34" s="98">
        <f>I33/K33</f>
        <v>0.40740740740740738</v>
      </c>
      <c r="J34" s="106">
        <f>J33/K33</f>
        <v>0.14814814814814814</v>
      </c>
      <c r="K34" s="117">
        <f>K33/K33</f>
        <v>1</v>
      </c>
    </row>
    <row r="35" spans="7:11" x14ac:dyDescent="0.3">
      <c r="G35" s="112" t="s">
        <v>108</v>
      </c>
      <c r="H35" s="37">
        <v>1860000</v>
      </c>
      <c r="I35" s="71">
        <v>1540000</v>
      </c>
      <c r="J35" s="81">
        <v>640000</v>
      </c>
      <c r="K35" s="119">
        <f>H35+I35+J35</f>
        <v>4040000</v>
      </c>
    </row>
    <row r="36" spans="7:11" x14ac:dyDescent="0.3">
      <c r="G36" s="112" t="s">
        <v>109</v>
      </c>
      <c r="H36" s="103">
        <f>H35/K35</f>
        <v>0.46039603960396042</v>
      </c>
      <c r="I36" s="99">
        <f>I35/K35</f>
        <v>0.38118811881188119</v>
      </c>
      <c r="J36" s="104">
        <f>J35/K35</f>
        <v>0.15841584158415842</v>
      </c>
      <c r="K36" s="117">
        <f>K35/K35</f>
        <v>1</v>
      </c>
    </row>
    <row r="37" spans="7:11" x14ac:dyDescent="0.3">
      <c r="G37" s="113"/>
      <c r="H37" s="97"/>
      <c r="I37" s="97"/>
      <c r="J37" s="128" t="s">
        <v>121</v>
      </c>
      <c r="K37" s="129"/>
    </row>
    <row r="38" spans="7:11" x14ac:dyDescent="0.3">
      <c r="G38" s="114" t="s">
        <v>114</v>
      </c>
      <c r="H38" s="107">
        <v>155000</v>
      </c>
      <c r="I38" s="109">
        <v>140000</v>
      </c>
      <c r="J38" s="108">
        <v>160000</v>
      </c>
      <c r="K38" s="133">
        <f>K35/K33</f>
        <v>149629.62962962964</v>
      </c>
    </row>
    <row r="39" spans="7:11" x14ac:dyDescent="0.3">
      <c r="G39" s="115" t="s">
        <v>115</v>
      </c>
      <c r="H39" s="103">
        <f>H33/H31</f>
        <v>0.13333333333333333</v>
      </c>
      <c r="I39" s="99">
        <f t="shared" ref="I39:J39" si="5">I33/I31</f>
        <v>7.857142857142857E-2</v>
      </c>
      <c r="J39" s="104">
        <f t="shared" si="5"/>
        <v>8.8888888888888892E-2</v>
      </c>
      <c r="K39" s="134">
        <f>K33/K31</f>
        <v>9.8181818181818176E-2</v>
      </c>
    </row>
    <row r="42" spans="7:11" x14ac:dyDescent="0.3">
      <c r="G42" s="82" t="s">
        <v>23</v>
      </c>
    </row>
    <row r="44" spans="7:11" ht="43.2" x14ac:dyDescent="0.3">
      <c r="G44" s="101"/>
      <c r="H44" s="130" t="s">
        <v>116</v>
      </c>
      <c r="I44" s="131" t="s">
        <v>117</v>
      </c>
      <c r="J44" s="132" t="s">
        <v>118</v>
      </c>
    </row>
    <row r="45" spans="7:11" x14ac:dyDescent="0.3">
      <c r="G45" s="101" t="s">
        <v>8</v>
      </c>
      <c r="H45" s="21">
        <f>I22-H22</f>
        <v>360000</v>
      </c>
      <c r="I45" s="21">
        <f>(I20-H20)*H21</f>
        <v>300000</v>
      </c>
      <c r="J45" s="21">
        <f>I20*(I21-H21)</f>
        <v>60000</v>
      </c>
    </row>
    <row r="46" spans="7:11" x14ac:dyDescent="0.3">
      <c r="G46" s="101" t="s">
        <v>12</v>
      </c>
      <c r="H46" s="21">
        <f>M22-L22</f>
        <v>40000</v>
      </c>
      <c r="I46" s="21">
        <f>(M20-L20)*L21</f>
        <v>150000</v>
      </c>
      <c r="J46" s="21">
        <f>M20*(M21-L21)</f>
        <v>-110000</v>
      </c>
    </row>
    <row r="47" spans="7:11" x14ac:dyDescent="0.3">
      <c r="G47" s="101" t="s">
        <v>13</v>
      </c>
      <c r="H47" s="21">
        <f>Q22-P22</f>
        <v>-110000</v>
      </c>
      <c r="I47" s="21">
        <f>(Q20-P20)*P21</f>
        <v>-150000</v>
      </c>
      <c r="J47" s="21">
        <f>Q20*(Q21-P21)</f>
        <v>40000</v>
      </c>
    </row>
    <row r="50" spans="7:11" x14ac:dyDescent="0.3">
      <c r="G50" s="82" t="s">
        <v>57</v>
      </c>
    </row>
    <row r="52" spans="7:11" x14ac:dyDescent="0.3">
      <c r="G52" s="57"/>
      <c r="H52" s="87" t="s">
        <v>119</v>
      </c>
      <c r="I52" s="88"/>
      <c r="J52" s="88"/>
      <c r="K52" s="89"/>
    </row>
    <row r="53" spans="7:11" x14ac:dyDescent="0.3">
      <c r="G53" s="58" t="s">
        <v>5</v>
      </c>
      <c r="H53" s="58" t="s">
        <v>6</v>
      </c>
      <c r="I53" s="59" t="s">
        <v>7</v>
      </c>
      <c r="J53" s="59" t="s">
        <v>81</v>
      </c>
      <c r="K53" s="60" t="s">
        <v>82</v>
      </c>
    </row>
    <row r="54" spans="7:11" x14ac:dyDescent="0.3">
      <c r="G54" s="37" t="s">
        <v>9</v>
      </c>
      <c r="H54" s="95">
        <f>SUM(D16,D19,D22)</f>
        <v>250</v>
      </c>
      <c r="I54" s="120">
        <f>SUM(E16,E19,E22)</f>
        <v>275</v>
      </c>
      <c r="J54" s="120">
        <f>I54-H54</f>
        <v>25</v>
      </c>
      <c r="K54" s="106">
        <f>J54/H54</f>
        <v>0.1</v>
      </c>
    </row>
    <row r="55" spans="7:11" x14ac:dyDescent="0.3">
      <c r="G55" s="37" t="s">
        <v>10</v>
      </c>
      <c r="H55" s="95">
        <f>SUM(D17,D20,D23)</f>
        <v>25</v>
      </c>
      <c r="I55" s="121">
        <f>SUM(E17,E20,E23)</f>
        <v>27</v>
      </c>
      <c r="J55" s="121">
        <f t="shared" ref="J55:J56" si="6">I55-H55</f>
        <v>2</v>
      </c>
      <c r="K55" s="106">
        <f t="shared" ref="K55:K57" si="7">J55/H55</f>
        <v>0.08</v>
      </c>
    </row>
    <row r="56" spans="7:11" x14ac:dyDescent="0.3">
      <c r="G56" s="37" t="s">
        <v>11</v>
      </c>
      <c r="H56" s="95">
        <f>H57/H55</f>
        <v>150000</v>
      </c>
      <c r="I56" s="121">
        <f>I57/I55</f>
        <v>149629.62962962964</v>
      </c>
      <c r="J56" s="121">
        <f t="shared" si="6"/>
        <v>-370.37037037036498</v>
      </c>
      <c r="K56" s="106">
        <f t="shared" si="7"/>
        <v>-2.4691358024690998E-3</v>
      </c>
    </row>
    <row r="57" spans="7:11" x14ac:dyDescent="0.3">
      <c r="G57" s="38" t="s">
        <v>108</v>
      </c>
      <c r="H57" s="38">
        <f>SUM(D17*D18,D20*D21,D23*D24)</f>
        <v>3750000</v>
      </c>
      <c r="I57" s="96">
        <f>SUM(E17*E18,E20*E21,E23*E24)</f>
        <v>4040000</v>
      </c>
      <c r="J57" s="122">
        <f>I57-H57</f>
        <v>290000</v>
      </c>
      <c r="K57" s="106">
        <f t="shared" si="7"/>
        <v>7.7333333333333337E-2</v>
      </c>
    </row>
    <row r="60" spans="7:11" ht="43.2" x14ac:dyDescent="0.3">
      <c r="G60" s="101"/>
      <c r="H60" s="130" t="s">
        <v>116</v>
      </c>
      <c r="I60" s="131" t="s">
        <v>117</v>
      </c>
      <c r="J60" s="132" t="s">
        <v>118</v>
      </c>
      <c r="K60" s="123"/>
    </row>
    <row r="61" spans="7:11" x14ac:dyDescent="0.3">
      <c r="G61" s="101" t="s">
        <v>120</v>
      </c>
      <c r="H61" s="21">
        <f>SUM(H45:H47)</f>
        <v>290000</v>
      </c>
      <c r="I61" s="21">
        <f>SUM(I45:I47)</f>
        <v>300000</v>
      </c>
      <c r="J61" s="21">
        <f>SUM(J45:J47)</f>
        <v>-10000</v>
      </c>
      <c r="K61" s="124"/>
    </row>
    <row r="64" spans="7:11" x14ac:dyDescent="0.3">
      <c r="G64" s="125"/>
      <c r="H64" s="28"/>
      <c r="I64" s="28"/>
      <c r="J64" s="28"/>
      <c r="K64" s="123"/>
    </row>
    <row r="65" spans="7:11" x14ac:dyDescent="0.3">
      <c r="G65" s="116"/>
      <c r="H65" s="93"/>
      <c r="I65" s="93"/>
      <c r="J65" s="93"/>
      <c r="K65" s="126"/>
    </row>
    <row r="66" spans="7:11" x14ac:dyDescent="0.3">
      <c r="G66" s="116"/>
      <c r="H66" s="98"/>
      <c r="I66" s="98"/>
      <c r="J66" s="98"/>
      <c r="K66" s="127"/>
    </row>
  </sheetData>
  <mergeCells count="5">
    <mergeCell ref="J37:K37"/>
    <mergeCell ref="H52:K52"/>
    <mergeCell ref="H17:K17"/>
    <mergeCell ref="L17:O17"/>
    <mergeCell ref="P17:S17"/>
  </mergeCells>
  <conditionalFormatting sqref="K19:K22">
    <cfRule type="cellIs" dxfId="23" priority="50" operator="equal">
      <formula>0</formula>
    </cfRule>
    <cfRule type="cellIs" dxfId="22" priority="51" operator="equal">
      <formula>1.955</formula>
    </cfRule>
    <cfRule type="cellIs" dxfId="21" priority="52" operator="lessThan">
      <formula>0</formula>
    </cfRule>
    <cfRule type="cellIs" dxfId="20" priority="53" operator="greaterThan">
      <formula>0</formula>
    </cfRule>
  </conditionalFormatting>
  <conditionalFormatting sqref="O19:O21">
    <cfRule type="cellIs" dxfId="19" priority="46" operator="equal">
      <formula>0</formula>
    </cfRule>
    <cfRule type="cellIs" dxfId="18" priority="47" operator="equal">
      <formula>1.955</formula>
    </cfRule>
    <cfRule type="cellIs" dxfId="17" priority="48" operator="lessThan">
      <formula>0</formula>
    </cfRule>
    <cfRule type="cellIs" dxfId="16" priority="49" operator="greaterThan">
      <formula>0</formula>
    </cfRule>
  </conditionalFormatting>
  <conditionalFormatting sqref="S19:S21">
    <cfRule type="cellIs" dxfId="15" priority="42" operator="equal">
      <formula>0</formula>
    </cfRule>
    <cfRule type="cellIs" dxfId="14" priority="43" operator="equal">
      <formula>1.955</formula>
    </cfRule>
    <cfRule type="cellIs" dxfId="13" priority="44" operator="lessThan">
      <formula>0</formula>
    </cfRule>
    <cfRule type="cellIs" dxfId="12" priority="45" operator="greaterThan">
      <formula>0</formula>
    </cfRule>
  </conditionalFormatting>
  <conditionalFormatting sqref="O22">
    <cfRule type="cellIs" dxfId="11" priority="38" operator="equal">
      <formula>0</formula>
    </cfRule>
    <cfRule type="cellIs" dxfId="10" priority="39" operator="equal">
      <formula>1.955</formula>
    </cfRule>
    <cfRule type="cellIs" dxfId="9" priority="40" operator="lessThan">
      <formula>0</formula>
    </cfRule>
    <cfRule type="cellIs" dxfId="8" priority="41" operator="greaterThan">
      <formula>0</formula>
    </cfRule>
  </conditionalFormatting>
  <conditionalFormatting sqref="S22">
    <cfRule type="cellIs" dxfId="7" priority="34" operator="equal">
      <formula>0</formula>
    </cfRule>
    <cfRule type="cellIs" dxfId="6" priority="35" operator="equal">
      <formula>1.955</formula>
    </cfRule>
    <cfRule type="cellIs" dxfId="5" priority="36" operator="lessThan">
      <formula>0</formula>
    </cfRule>
    <cfRule type="cellIs" dxfId="4" priority="37" operator="greaterThan">
      <formula>0</formula>
    </cfRule>
  </conditionalFormatting>
  <conditionalFormatting sqref="H36:K3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{847ABA76-E2F1-47C7-BC0E-94972C32CF72}</x14:id>
        </ext>
      </extLst>
    </cfRule>
  </conditionalFormatting>
  <conditionalFormatting sqref="H34:K3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{76BCC5BD-6B65-4D64-B7AE-621D55C9D970}</x14:id>
        </ext>
      </extLst>
    </cfRule>
  </conditionalFormatting>
  <conditionalFormatting sqref="H32:K3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{AE02B0D8-9B58-4721-880C-B6FED7D3E37B}</x14:id>
        </ext>
      </extLst>
    </cfRule>
  </conditionalFormatting>
  <conditionalFormatting sqref="H39:J3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J3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K3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K3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5:J4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{2F6AA474-ACDE-4FE5-9667-D6F20F34B849}</x14:id>
        </ext>
      </extLst>
    </cfRule>
  </conditionalFormatting>
  <conditionalFormatting sqref="H46:J4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{9C167D7B-13D9-462E-A824-D4B536236AC3}</x14:id>
        </ext>
      </extLst>
    </cfRule>
  </conditionalFormatting>
  <conditionalFormatting sqref="H47:J4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{47252481-B45E-4589-AD77-4AC02EA7D25A}</x14:id>
        </ext>
      </extLst>
    </cfRule>
  </conditionalFormatting>
  <conditionalFormatting sqref="K54:K57">
    <cfRule type="cellIs" dxfId="3" priority="12" operator="equal">
      <formula>0</formula>
    </cfRule>
    <cfRule type="cellIs" dxfId="2" priority="13" operator="equal">
      <formula>1.955</formula>
    </cfRule>
    <cfRule type="cellIs" dxfId="1" priority="14" operator="lessThan">
      <formula>0</formula>
    </cfRule>
    <cfRule type="cellIs" dxfId="0" priority="15" operator="greaterThan">
      <formula>0</formula>
    </cfRule>
  </conditionalFormatting>
  <conditionalFormatting sqref="H66:J6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5:J6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5:K6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6:K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1:J6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{EB7A10A8-6818-4C6C-A005-1B1761C68269}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7ABA76-E2F1-47C7-BC0E-94972C32CF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H36:K36</xm:sqref>
        </x14:conditionalFormatting>
        <x14:conditionalFormatting xmlns:xm="http://schemas.microsoft.com/office/excel/2006/main">
          <x14:cfRule type="dataBar" id="{76BCC5BD-6B65-4D64-B7AE-621D55C9D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H34:K34</xm:sqref>
        </x14:conditionalFormatting>
        <x14:conditionalFormatting xmlns:xm="http://schemas.microsoft.com/office/excel/2006/main">
          <x14:cfRule type="dataBar" id="{AE02B0D8-9B58-4721-880C-B6FED7D3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H32:K32</xm:sqref>
        </x14:conditionalFormatting>
        <x14:conditionalFormatting xmlns:xm="http://schemas.microsoft.com/office/excel/2006/main">
          <x14:cfRule type="dataBar" id="{2F6AA474-ACDE-4FE5-9667-D6F20F34B8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H45:J45</xm:sqref>
        </x14:conditionalFormatting>
        <x14:conditionalFormatting xmlns:xm="http://schemas.microsoft.com/office/excel/2006/main">
          <x14:cfRule type="dataBar" id="{9C167D7B-13D9-462E-A824-D4B536236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H46:J46</xm:sqref>
        </x14:conditionalFormatting>
        <x14:conditionalFormatting xmlns:xm="http://schemas.microsoft.com/office/excel/2006/main">
          <x14:cfRule type="dataBar" id="{47252481-B45E-4589-AD77-4AC02EA7D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H47:J47</xm:sqref>
        </x14:conditionalFormatting>
        <x14:conditionalFormatting xmlns:xm="http://schemas.microsoft.com/office/excel/2006/main">
          <x14:cfRule type="dataBar" id="{EB7A10A8-6818-4C6C-A005-1B1761C682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H61:J61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Общий лист с вводными</vt:lpstr>
      <vt:lpstr>1. Процентиль</vt:lpstr>
      <vt:lpstr>2. Поставки данных</vt:lpstr>
      <vt:lpstr>3. Подписки и акция</vt:lpstr>
      <vt:lpstr>4. Эффективность отдела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Масленников Даниил Игоревич</dc:creator>
  <cp:lastModifiedBy>Тимур Чанышев</cp:lastModifiedBy>
  <dcterms:created xsi:type="dcterms:W3CDTF">2024-11-09T20:11:59Z</dcterms:created>
  <dcterms:modified xsi:type="dcterms:W3CDTF">2026-09-24T12:56:19Z</dcterms:modified>
</cp:coreProperties>
</file>